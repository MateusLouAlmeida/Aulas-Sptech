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<sst xmlns="http://schemas.openxmlformats.org/spreadsheetml/2006/main" count="78" uniqueCount="12">
  <si>
    <t>ID</t>
  </si>
  <si>
    <t>Data/hora</t>
  </si>
  <si>
    <t>Registro</t>
  </si>
  <si>
    <t>Unidade de medida</t>
  </si>
  <si>
    <t>Origem</t>
  </si>
  <si>
    <t>DATA/HORA</t>
  </si>
  <si>
    <t>UNIDADE DE MEDIDA</t>
  </si>
  <si>
    <t>Sensor A</t>
  </si>
  <si>
    <t>Sensor B</t>
  </si>
  <si>
    <t>Sensor C</t>
  </si>
  <si>
    <t>IDEAL</t>
  </si>
  <si>
    <t>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</si>
</sst>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Sheet2!$P$1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Sheet2!$N$2:$N$25</c:f>
            </c:strRef>
          </c:cat>
          <c:val>
            <c:numRef>
              <c:f>Sheet2!$P$2:$P$25</c:f>
              <c:numCache/>
            </c:numRef>
          </c:val>
          <c:smooth val="0"/>
        </c:ser>
        <c:ser>
          <c:idx val="1"/>
          <c:order val="1"/>
          <c:tx>
            <c:strRef>
              <c:f>Sheet2!$Q$1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Sheet2!$N$2:$N$25</c:f>
            </c:strRef>
          </c:cat>
          <c:val>
            <c:numRef>
              <c:f>Sheet2!$Q$2:$Q$25</c:f>
              <c:numCache/>
            </c:numRef>
          </c:val>
          <c:smooth val="0"/>
        </c:ser>
        <c:ser>
          <c:idx val="2"/>
          <c:order val="2"/>
          <c:tx>
            <c:strRef>
              <c:f>Sheet2!$R$1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Sheet2!$N$2:$N$25</c:f>
            </c:strRef>
          </c:cat>
          <c:val>
            <c:numRef>
              <c:f>Sheet2!$R$2:$R$25</c:f>
              <c:numCache/>
            </c:numRef>
          </c:val>
          <c:smooth val="0"/>
        </c:ser>
        <c:ser>
          <c:idx val="3"/>
          <c:order val="3"/>
          <c:tx>
            <c:v>Ideal</c:v>
          </c:tx>
          <c:spPr>
            <a:ln cmpd="sng">
              <a:solidFill>
                <a:schemeClr val="accent6"/>
              </a:solidFill>
              <a:prstDash val="dash"/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cat>
            <c:strRef>
              <c:f>Sheet2!$N$2:$N$25</c:f>
            </c:strRef>
          </c:cat>
          <c:val>
            <c:numRef>
              <c:f>Sheet2!$S$2:$S$49</c:f>
              <c:numCache/>
            </c:numRef>
          </c:val>
          <c:smooth val="0"/>
        </c:ser>
        <c:axId val="1008393319"/>
        <c:axId val="1075677101"/>
      </c:lineChart>
      <c:catAx>
        <c:axId val="1008393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677101"/>
      </c:catAx>
      <c:valAx>
        <c:axId val="1075677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393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Sheet2!$S$1</c:f>
            </c:strRef>
          </c:tx>
          <c:spPr>
            <a:ln cmpd="sng">
              <a:solidFill>
                <a:schemeClr val="accent6"/>
              </a:solidFill>
              <a:prstDash val="dash"/>
            </a:ln>
          </c:spPr>
          <c:marker>
            <c:symbol val="none"/>
          </c:marker>
          <c:cat>
            <c:strRef>
              <c:f>Sheet2!$N$2:$N$25</c:f>
            </c:strRef>
          </c:cat>
          <c:val>
            <c:numRef>
              <c:f>Sheet2!$S$2:$S$49</c:f>
              <c:numCache/>
            </c:numRef>
          </c:val>
          <c:smooth val="1"/>
        </c:ser>
        <c:ser>
          <c:idx val="1"/>
          <c:order val="1"/>
          <c:tx>
            <c:strRef>
              <c:f>Sheet2!$R$1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Sheet2!$N$2:$N$25</c:f>
            </c:strRef>
          </c:cat>
          <c:val>
            <c:numRef>
              <c:f>Sheet2!$R$2:$R$49</c:f>
              <c:numCache/>
            </c:numRef>
          </c:val>
          <c:smooth val="1"/>
        </c:ser>
        <c:axId val="1365952275"/>
        <c:axId val="797540567"/>
      </c:lineChart>
      <c:catAx>
        <c:axId val="1365952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540567"/>
      </c:catAx>
      <c:valAx>
        <c:axId val="797540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952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desvios em relação ao ppm ideal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Sheet2!$W$1:$W$49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Sheet2!$X$1:$X$49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Sheet2!$Y$1:$Y$49</c:f>
              <c:numCache/>
            </c:numRef>
          </c:val>
        </c:ser>
        <c:axId val="1409732557"/>
        <c:axId val="65177349"/>
      </c:barChart>
      <c:catAx>
        <c:axId val="14097325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77349"/>
      </c:catAx>
      <c:valAx>
        <c:axId val="651773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73255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561975</xdr:colOff>
      <xdr:row>13</xdr:row>
      <xdr:rowOff>171450</xdr:rowOff>
    </xdr:from>
    <xdr:ext cx="5715000" cy="2924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1304925</xdr:colOff>
      <xdr:row>12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9" displayName="Sensor" name="Sensor" id="1">
  <tableColumns count="5">
    <tableColumn name="ID" id="1"/>
    <tableColumn name="Data/hora" id="2"/>
    <tableColumn name="Registro" id="3"/>
    <tableColumn name="Unidade de medida" id="4"/>
    <tableColumn name="Origem" id="5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N1:S9" displayName="tabela_sensores" name="tabela_sensores" id="2">
  <tableColumns count="6">
    <tableColumn name="DATA/HORA" id="1"/>
    <tableColumn name="UNIDADE DE MEDIDA" id="2"/>
    <tableColumn name="Sensor A" id="3"/>
    <tableColumn name="Sensor B" id="4"/>
    <tableColumn name="Sensor C" id="5"/>
    <tableColumn name="IDEAL" id="6"/>
  </tableColumns>
  <tableStyleInfo name="Sheet2-style 2" showColumnStripes="0" showFirstColumn="1" showLastColumn="1" showRowStripes="1"/>
</table>
</file>

<file path=xl/tables/table3.xml><?xml version="1.0" encoding="utf-8"?>
<table xmlns="http://schemas.openxmlformats.org/spreadsheetml/2006/main" ref="W4:Y21" displayName="Qtd_desvios_ppm_Ideal" name="Qtd_desvios_ppm_Ideal" id="3">
  <tableColumns count="3">
    <tableColumn name="Sensor A" id="1"/>
    <tableColumn name="Sensor B" id="2"/>
    <tableColumn name="Sensor C" id="3"/>
  </tableColumns>
  <tableStyleInfo name="Sheet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  <col customWidth="1" min="14" max="14" width="18.0"/>
    <col customWidth="1" min="15" max="15" width="21.38"/>
    <col customWidth="1" min="16" max="18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N1" s="2" t="s">
        <v>5</v>
      </c>
      <c r="O1" s="2" t="s">
        <v>6</v>
      </c>
      <c r="P1" s="3" t="s">
        <v>7</v>
      </c>
      <c r="Q1" s="3" t="s">
        <v>8</v>
      </c>
      <c r="R1" s="3" t="s">
        <v>9</v>
      </c>
      <c r="S1" s="2" t="s">
        <v>10</v>
      </c>
    </row>
    <row r="2" ht="22.5" customHeight="1">
      <c r="A2" s="4">
        <v>1.0</v>
      </c>
      <c r="B2" s="5">
        <v>45658.416666666664</v>
      </c>
      <c r="C2" s="4">
        <v>400.0</v>
      </c>
      <c r="D2" s="6" t="s">
        <v>11</v>
      </c>
      <c r="E2" s="4" t="s">
        <v>7</v>
      </c>
      <c r="N2" s="7">
        <f t="array" ref="N2:N10">UNIQUE(B2:B49)</f>
        <v>45658.41667</v>
      </c>
      <c r="O2" s="8" t="str">
        <f t="shared" ref="O2:O11" si="1">IF(N2="", "", D2)</f>
        <v>PPM</v>
      </c>
      <c r="P2" s="9">
        <f>IFERROR(__xludf.DUMMYFUNCTION("IFERROR(FILTER($C:$C, $E:$E=P$1, $B:$B=$N2), """")"),400.0)</f>
        <v>400</v>
      </c>
      <c r="Q2" s="9">
        <f>IFERROR(__xludf.DUMMYFUNCTION("IFERROR(FILTER($C:$C, $E:$E=Q$1, $B:$B=$N2), """")"),1200.0)</f>
        <v>1200</v>
      </c>
      <c r="R2" s="9">
        <f>IFERROR(__xludf.DUMMYFUNCTION("IFERROR(FILTER($C:$C, $E:$E=R$1, $B:$B=$N2), """")"),850.0)</f>
        <v>850</v>
      </c>
      <c r="S2" s="8">
        <f>IFERROR(__xludf.DUMMYFUNCTION("IFERROR(FILTER($C:$C, $E:$E=S$1, $B:$B=$N2), """")"),800.0)</f>
        <v>800</v>
      </c>
      <c r="Y2" s="10"/>
      <c r="Z2" s="10"/>
      <c r="AA2" s="10"/>
    </row>
    <row r="3" ht="22.5" customHeight="1">
      <c r="A3" s="4">
        <v>2.0</v>
      </c>
      <c r="B3" s="5">
        <v>45658.416666666664</v>
      </c>
      <c r="C3" s="4">
        <v>1200.0</v>
      </c>
      <c r="D3" s="6" t="s">
        <v>11</v>
      </c>
      <c r="E3" s="4" t="s">
        <v>8</v>
      </c>
      <c r="N3" s="7">
        <v>45658.42361111111</v>
      </c>
      <c r="O3" s="8" t="str">
        <f t="shared" si="1"/>
        <v>PPM</v>
      </c>
      <c r="P3" s="9">
        <f>IFERROR(__xludf.DUMMYFUNCTION("IFERROR(FILTER($C:$C, $E:$E=P$1, $B:$B=$N3), """")"),425.0)</f>
        <v>425</v>
      </c>
      <c r="Q3" s="9">
        <f>IFERROR(__xludf.DUMMYFUNCTION("IFERROR(FILTER($C:$C, $E:$E=Q$1, $B:$B=$N3), """")"),1300.0)</f>
        <v>1300</v>
      </c>
      <c r="R3" s="9">
        <f>IFERROR(__xludf.DUMMYFUNCTION("IFERROR(FILTER($C:$C, $E:$E=R$1, $B:$B=$N3), """")"),890.0)</f>
        <v>890</v>
      </c>
      <c r="S3" s="8">
        <f>IFERROR(__xludf.DUMMYFUNCTION("IFERROR(FILTER($C:$C, $E:$E=S$1, $B:$B=$N3), """")"),850.0)</f>
        <v>850</v>
      </c>
    </row>
    <row r="4" ht="22.5" customHeight="1">
      <c r="A4" s="4">
        <v>3.0</v>
      </c>
      <c r="B4" s="5">
        <v>45658.416666666664</v>
      </c>
      <c r="C4" s="4">
        <v>850.0</v>
      </c>
      <c r="D4" s="6" t="s">
        <v>11</v>
      </c>
      <c r="E4" s="4" t="s">
        <v>9</v>
      </c>
      <c r="N4" s="7">
        <v>45658.430555555555</v>
      </c>
      <c r="O4" s="8" t="str">
        <f t="shared" si="1"/>
        <v>PPM</v>
      </c>
      <c r="P4" s="9">
        <f>IFERROR(__xludf.DUMMYFUNCTION("IFERROR(FILTER($C:$C, $E:$E=P$1, $B:$B=$N4), """")"),456.0)</f>
        <v>456</v>
      </c>
      <c r="Q4" s="9">
        <f>IFERROR(__xludf.DUMMYFUNCTION("IFERROR(FILTER($C:$C, $E:$E=Q$1, $B:$B=$N4), """")"),1333.0)</f>
        <v>1333</v>
      </c>
      <c r="R4" s="9">
        <f>IFERROR(__xludf.DUMMYFUNCTION("IFERROR(FILTER($C:$C, $E:$E=R$1, $B:$B=$N4), """")"),900.0)</f>
        <v>900</v>
      </c>
      <c r="S4" s="8">
        <f>IFERROR(__xludf.DUMMYFUNCTION("IFERROR(FILTER($C:$C, $E:$E=S$1, $B:$B=$N4), """")"),900.0)</f>
        <v>900</v>
      </c>
      <c r="W4" s="11" t="s">
        <v>7</v>
      </c>
      <c r="X4" s="2" t="s">
        <v>8</v>
      </c>
      <c r="Y4" s="2" t="s">
        <v>9</v>
      </c>
    </row>
    <row r="5" ht="22.5" customHeight="1">
      <c r="A5" s="4">
        <v>4.0</v>
      </c>
      <c r="B5" s="5">
        <v>45658.42361111111</v>
      </c>
      <c r="C5" s="4">
        <v>425.0</v>
      </c>
      <c r="D5" s="6" t="s">
        <v>11</v>
      </c>
      <c r="E5" s="4" t="s">
        <v>7</v>
      </c>
      <c r="N5" s="7">
        <v>45658.4375</v>
      </c>
      <c r="O5" s="8" t="str">
        <f t="shared" si="1"/>
        <v>PPM</v>
      </c>
      <c r="P5" s="9">
        <f>IFERROR(__xludf.DUMMYFUNCTION("IFERROR(FILTER($C:$C, $E:$E=P$1, $B:$B=$N5), """")"),463.0)</f>
        <v>463</v>
      </c>
      <c r="Q5" s="9">
        <f>IFERROR(__xludf.DUMMYFUNCTION("IFERROR(FILTER($C:$C, $E:$E=Q$1, $B:$B=$N5), """")"),1100.0)</f>
        <v>1100</v>
      </c>
      <c r="R5" s="9">
        <f>IFERROR(__xludf.DUMMYFUNCTION("IFERROR(FILTER($C:$C, $E:$E=R$1, $B:$B=$N5), """")"),912.0)</f>
        <v>912</v>
      </c>
      <c r="S5" s="8">
        <f>IFERROR(__xludf.DUMMYFUNCTION("IFERROR(FILTER($C:$C, $E:$E=S$1, $B:$B=$N5), """")"),950.0)</f>
        <v>950</v>
      </c>
      <c r="W5" s="8">
        <f t="shared" ref="W5:Y5" si="2">COUNTIF(P2:P1000,"&lt;800")+COUNTIF(P2:P1000,"&gt;1200")</f>
        <v>8</v>
      </c>
      <c r="X5" s="8">
        <f t="shared" si="2"/>
        <v>4</v>
      </c>
      <c r="Y5" s="8">
        <f t="shared" si="2"/>
        <v>0</v>
      </c>
    </row>
    <row r="6" ht="22.5" customHeight="1">
      <c r="A6" s="4">
        <v>5.0</v>
      </c>
      <c r="B6" s="5">
        <v>45658.42361111111</v>
      </c>
      <c r="C6" s="4">
        <v>1300.0</v>
      </c>
      <c r="D6" s="6" t="s">
        <v>11</v>
      </c>
      <c r="E6" s="4" t="s">
        <v>8</v>
      </c>
      <c r="N6" s="7">
        <v>45658.444444444445</v>
      </c>
      <c r="O6" s="8" t="str">
        <f t="shared" si="1"/>
        <v>PPM</v>
      </c>
      <c r="P6" s="9">
        <f>IFERROR(__xludf.DUMMYFUNCTION("IFERROR(FILTER($C:$C, $E:$E=P$1, $B:$B=$N6), """")"),482.0)</f>
        <v>482</v>
      </c>
      <c r="Q6" s="9">
        <f>IFERROR(__xludf.DUMMYFUNCTION("IFERROR(FILTER($C:$C, $E:$E=Q$1, $B:$B=$N6), """")"),1180.0)</f>
        <v>1180</v>
      </c>
      <c r="R6" s="9">
        <f>IFERROR(__xludf.DUMMYFUNCTION("IFERROR(FILTER($C:$C, $E:$E=R$1, $B:$B=$N6), """")"),925.0)</f>
        <v>925</v>
      </c>
      <c r="S6" s="8">
        <f>IFERROR(__xludf.DUMMYFUNCTION("IFERROR(FILTER($C:$C, $E:$E=S$1, $B:$B=$N6), """")"),1000.0)</f>
        <v>1000</v>
      </c>
      <c r="W6" s="5"/>
      <c r="Y6" s="12"/>
    </row>
    <row r="7" ht="22.5" customHeight="1">
      <c r="A7" s="4">
        <v>6.0</v>
      </c>
      <c r="B7" s="5">
        <v>45658.42361111111</v>
      </c>
      <c r="C7" s="4">
        <v>890.0</v>
      </c>
      <c r="D7" s="6" t="s">
        <v>11</v>
      </c>
      <c r="E7" s="4" t="s">
        <v>9</v>
      </c>
      <c r="N7" s="7">
        <v>45658.45138888889</v>
      </c>
      <c r="O7" s="8" t="str">
        <f t="shared" si="1"/>
        <v>PPM</v>
      </c>
      <c r="P7" s="9">
        <f>IFERROR(__xludf.DUMMYFUNCTION("IFERROR(FILTER($C:$C, $E:$E=P$1, $B:$B=$N7), """")"),497.0)</f>
        <v>497</v>
      </c>
      <c r="Q7" s="9">
        <f>IFERROR(__xludf.DUMMYFUNCTION("IFERROR(FILTER($C:$C, $E:$E=Q$1, $B:$B=$N7), """")"),1220.0)</f>
        <v>1220</v>
      </c>
      <c r="R7" s="9">
        <f>IFERROR(__xludf.DUMMYFUNCTION("IFERROR(FILTER($C:$C, $E:$E=R$1, $B:$B=$N7), """")"),941.0)</f>
        <v>941</v>
      </c>
      <c r="S7" s="8">
        <f>IFERROR(__xludf.DUMMYFUNCTION("IFERROR(FILTER($C:$C, $E:$E=S$1, $B:$B=$N7), """")"),1050.0)</f>
        <v>1050</v>
      </c>
      <c r="W7" s="5"/>
      <c r="Y7" s="12"/>
    </row>
    <row r="8" ht="22.5" customHeight="1">
      <c r="A8" s="4">
        <v>7.0</v>
      </c>
      <c r="B8" s="5">
        <v>45658.430555555555</v>
      </c>
      <c r="C8" s="4">
        <v>456.0</v>
      </c>
      <c r="D8" s="6" t="s">
        <v>11</v>
      </c>
      <c r="E8" s="4" t="s">
        <v>7</v>
      </c>
      <c r="N8" s="7">
        <v>45658.458333333336</v>
      </c>
      <c r="O8" s="8" t="str">
        <f t="shared" si="1"/>
        <v>PPM</v>
      </c>
      <c r="P8" s="9">
        <f>IFERROR(__xludf.DUMMYFUNCTION("IFERROR(FILTER($C:$C, $E:$E=P$1, $B:$B=$N8), """")"),503.0)</f>
        <v>503</v>
      </c>
      <c r="Q8" s="9">
        <f>IFERROR(__xludf.DUMMYFUNCTION("IFERROR(FILTER($C:$C, $E:$E=Q$1, $B:$B=$N8), """")"),1270.0)</f>
        <v>1270</v>
      </c>
      <c r="R8" s="9">
        <f>IFERROR(__xludf.DUMMYFUNCTION("IFERROR(FILTER($C:$C, $E:$E=R$1, $B:$B=$N8), """")"),938.0)</f>
        <v>938</v>
      </c>
      <c r="S8" s="8">
        <f>IFERROR(__xludf.DUMMYFUNCTION("IFERROR(FILTER($C:$C, $E:$E=S$1, $B:$B=$N8), """")"),1100.0)</f>
        <v>1100</v>
      </c>
      <c r="W8" s="5"/>
      <c r="Y8" s="12"/>
    </row>
    <row r="9" ht="22.5" customHeight="1">
      <c r="A9" s="4">
        <v>8.0</v>
      </c>
      <c r="B9" s="5">
        <v>45658.430555555555</v>
      </c>
      <c r="C9" s="4">
        <v>1333.0</v>
      </c>
      <c r="D9" s="6" t="s">
        <v>11</v>
      </c>
      <c r="E9" s="4" t="s">
        <v>8</v>
      </c>
      <c r="N9" s="7">
        <v>45658.46527777778</v>
      </c>
      <c r="O9" s="8" t="str">
        <f t="shared" si="1"/>
        <v>PPM</v>
      </c>
      <c r="P9" s="9">
        <f>IFERROR(__xludf.DUMMYFUNCTION("IFERROR(FILTER($C:$C, $E:$E=P$1, $B:$B=$N9), """")"),549.0)</f>
        <v>549</v>
      </c>
      <c r="Q9" s="9">
        <f>IFERROR(__xludf.DUMMYFUNCTION("IFERROR(FILTER($C:$C, $E:$E=Q$1, $B:$B=$N9), """")"),1200.0)</f>
        <v>1200</v>
      </c>
      <c r="R9" s="9">
        <f>IFERROR(__xludf.DUMMYFUNCTION("IFERROR(FILTER($C:$C, $E:$E=R$1, $B:$B=$N9), """")"),940.0)</f>
        <v>940</v>
      </c>
      <c r="S9" s="8">
        <f>IFERROR(__xludf.DUMMYFUNCTION("IFERROR(FILTER($C:$C, $E:$E=S$1, $B:$B=$N9), """")"),1200.0)</f>
        <v>1200</v>
      </c>
      <c r="W9" s="5"/>
      <c r="Y9" s="12"/>
    </row>
    <row r="10" ht="22.5" customHeight="1">
      <c r="A10" s="4">
        <v>9.0</v>
      </c>
      <c r="B10" s="5">
        <v>45658.430555555555</v>
      </c>
      <c r="C10" s="4">
        <v>900.0</v>
      </c>
      <c r="D10" s="6" t="s">
        <v>11</v>
      </c>
      <c r="E10" s="4" t="s">
        <v>9</v>
      </c>
      <c r="N10" s="13"/>
      <c r="O10" s="13" t="str">
        <f t="shared" si="1"/>
        <v/>
      </c>
      <c r="P10" s="13" t="str">
        <f>IFERROR(__xludf.DUMMYFUNCTION("IFERROR(FILTER($C:$C, $E:$E=P$1, $B:$B=$N10), """")"),"")</f>
        <v/>
      </c>
      <c r="Q10" s="13" t="str">
        <f>IFERROR(__xludf.DUMMYFUNCTION("IFERROR(FILTER($C:$C, $E:$E=Q$1, $B:$B=$N10), """")"),"")</f>
        <v/>
      </c>
      <c r="R10" s="13" t="str">
        <f>IFERROR(__xludf.DUMMYFUNCTION("IFERROR(FILTER($C:$C, $E:$E=R$1, $B:$B=$N10), """")"),"")</f>
        <v/>
      </c>
      <c r="W10" s="5"/>
      <c r="Y10" s="12"/>
    </row>
    <row r="11" ht="22.5" customHeight="1">
      <c r="A11" s="4">
        <v>10.0</v>
      </c>
      <c r="B11" s="5">
        <v>45658.4375</v>
      </c>
      <c r="C11" s="4">
        <v>463.0</v>
      </c>
      <c r="D11" s="6" t="s">
        <v>11</v>
      </c>
      <c r="E11" s="4" t="s">
        <v>7</v>
      </c>
      <c r="O11" s="13" t="str">
        <f t="shared" si="1"/>
        <v/>
      </c>
      <c r="P11" s="13" t="str">
        <f>IFERROR(__xludf.DUMMYFUNCTION("IFERROR(FILTER($C:$C, $E:$E=P$1, $B:$B=$N11), """")"),"")</f>
        <v/>
      </c>
      <c r="Q11" s="13" t="str">
        <f>IFERROR(__xludf.DUMMYFUNCTION("IFERROR(FILTER($C:$C, $E:$E=Q$1, $B:$B=$N11), """")"),"")</f>
        <v/>
      </c>
      <c r="R11" s="13" t="str">
        <f>IFERROR(__xludf.DUMMYFUNCTION("IFERROR(FILTER($C:$C, $E:$E=R$1, $B:$B=$N11), """")"),"")</f>
        <v/>
      </c>
      <c r="W11" s="5"/>
      <c r="Y11" s="12"/>
    </row>
    <row r="12" ht="22.5" customHeight="1">
      <c r="A12" s="4">
        <v>11.0</v>
      </c>
      <c r="B12" s="5">
        <v>45658.4375</v>
      </c>
      <c r="C12" s="4">
        <v>1100.0</v>
      </c>
      <c r="D12" s="6" t="s">
        <v>11</v>
      </c>
      <c r="E12" s="4" t="s">
        <v>8</v>
      </c>
      <c r="P12" s="13" t="str">
        <f>IFERROR(__xludf.DUMMYFUNCTION("IFERROR(FILTER($C:$C, $E:$E=P$1, $B:$B=$N12), """")"),"")</f>
        <v/>
      </c>
      <c r="Q12" s="13" t="str">
        <f>IFERROR(__xludf.DUMMYFUNCTION("IFERROR(FILTER($C:$C, $E:$E=Q$1, $B:$B=$N12), """")"),"")</f>
        <v/>
      </c>
      <c r="W12" s="5"/>
      <c r="Y12" s="12"/>
    </row>
    <row r="13" ht="22.5" customHeight="1">
      <c r="A13" s="4">
        <v>12.0</v>
      </c>
      <c r="B13" s="5">
        <v>45658.4375</v>
      </c>
      <c r="C13" s="4">
        <v>912.0</v>
      </c>
      <c r="D13" s="6" t="s">
        <v>11</v>
      </c>
      <c r="E13" s="4" t="s">
        <v>9</v>
      </c>
      <c r="O13" s="13" t="str">
        <f t="shared" ref="O13:O25" si="3">IF(N13="", "", D13)</f>
        <v/>
      </c>
      <c r="P13" s="13" t="str">
        <f>IFERROR(__xludf.DUMMYFUNCTION("IFERROR(FILTER($C:$C, $E:$E=P$1, $B:$B=$N13), """")"),"")</f>
        <v/>
      </c>
      <c r="Q13" s="13" t="str">
        <f>IFERROR(__xludf.DUMMYFUNCTION("IFERROR(FILTER($C:$C, $E:$E=Q$1, $B:$B=$N13), """")"),"")</f>
        <v/>
      </c>
      <c r="R13" s="13" t="str">
        <f>IFERROR(__xludf.DUMMYFUNCTION("IFERROR(FILTER($C:$C, $E:$E=R$1, $B:$B=$N13), """")"),"")</f>
        <v/>
      </c>
      <c r="W13" s="5"/>
      <c r="Y13" s="12"/>
    </row>
    <row r="14" ht="22.5" customHeight="1">
      <c r="A14" s="4">
        <v>13.0</v>
      </c>
      <c r="B14" s="5">
        <v>45658.444444444445</v>
      </c>
      <c r="C14" s="4">
        <v>482.0</v>
      </c>
      <c r="D14" s="6" t="s">
        <v>11</v>
      </c>
      <c r="E14" s="4" t="s">
        <v>7</v>
      </c>
      <c r="O14" s="13" t="str">
        <f t="shared" si="3"/>
        <v/>
      </c>
      <c r="P14" s="13" t="str">
        <f>IFERROR(__xludf.DUMMYFUNCTION("IFERROR(FILTER($C:$C, $E:$E=P$1, $B:$B=$N14), """")"),"")</f>
        <v/>
      </c>
      <c r="Q14" s="13" t="str">
        <f>IFERROR(__xludf.DUMMYFUNCTION("IFERROR(FILTER($C:$C, $E:$E=Q$1, $B:$B=$N14), """")"),"")</f>
        <v/>
      </c>
      <c r="R14" s="13" t="str">
        <f>IFERROR(__xludf.DUMMYFUNCTION("IFERROR(FILTER($C:$C, $E:$E=R$1, $B:$B=$N14), """")"),"")</f>
        <v/>
      </c>
      <c r="W14" s="5"/>
      <c r="Y14" s="12"/>
    </row>
    <row r="15" ht="22.5" customHeight="1">
      <c r="A15" s="4">
        <v>14.0</v>
      </c>
      <c r="B15" s="5">
        <v>45658.444444444445</v>
      </c>
      <c r="C15" s="4">
        <v>1180.0</v>
      </c>
      <c r="D15" s="6" t="s">
        <v>11</v>
      </c>
      <c r="E15" s="4" t="s">
        <v>8</v>
      </c>
      <c r="O15" s="13" t="str">
        <f t="shared" si="3"/>
        <v/>
      </c>
      <c r="P15" s="13" t="str">
        <f>IFERROR(__xludf.DUMMYFUNCTION("IFERROR(FILTER($C:$C, $E:$E=P$1, $B:$B=$N15), """")"),"")</f>
        <v/>
      </c>
      <c r="Q15" s="13" t="str">
        <f>IFERROR(__xludf.DUMMYFUNCTION("IFERROR(FILTER($C:$C, $E:$E=Q$1, $B:$B=$N15), """")"),"")</f>
        <v/>
      </c>
      <c r="R15" s="13" t="str">
        <f>IFERROR(__xludf.DUMMYFUNCTION("IFERROR(FILTER($C:$C, $E:$E=R$1, $B:$B=$N15), """")"),"")</f>
        <v/>
      </c>
      <c r="W15" s="5"/>
      <c r="Y15" s="12"/>
    </row>
    <row r="16" ht="22.5" customHeight="1">
      <c r="A16" s="4">
        <v>15.0</v>
      </c>
      <c r="B16" s="5">
        <v>45658.444444444445</v>
      </c>
      <c r="C16" s="4">
        <v>925.0</v>
      </c>
      <c r="D16" s="6" t="s">
        <v>11</v>
      </c>
      <c r="E16" s="4" t="s">
        <v>9</v>
      </c>
      <c r="O16" s="13" t="str">
        <f t="shared" si="3"/>
        <v/>
      </c>
      <c r="P16" s="13" t="str">
        <f>IFERROR(__xludf.DUMMYFUNCTION("IFERROR(FILTER($C:$C, $E:$E=P$1, $B:$B=$N16), """")"),"")</f>
        <v/>
      </c>
      <c r="Q16" s="13" t="str">
        <f>IFERROR(__xludf.DUMMYFUNCTION("IFERROR(FILTER($C:$C, $E:$E=Q$1, $B:$B=$N16), """")"),"")</f>
        <v/>
      </c>
      <c r="R16" s="13" t="str">
        <f>IFERROR(__xludf.DUMMYFUNCTION("IFERROR(FILTER($C:$C, $E:$E=R$1, $B:$B=$N16), """")"),"")</f>
        <v/>
      </c>
      <c r="W16" s="5"/>
      <c r="Y16" s="12"/>
    </row>
    <row r="17" ht="22.5" customHeight="1">
      <c r="A17" s="4">
        <v>16.0</v>
      </c>
      <c r="B17" s="5">
        <v>45658.45138888889</v>
      </c>
      <c r="C17" s="4">
        <v>497.0</v>
      </c>
      <c r="D17" s="6" t="s">
        <v>11</v>
      </c>
      <c r="E17" s="4" t="s">
        <v>7</v>
      </c>
      <c r="O17" s="13" t="str">
        <f t="shared" si="3"/>
        <v/>
      </c>
      <c r="P17" s="13" t="str">
        <f>IFERROR(__xludf.DUMMYFUNCTION("IFERROR(FILTER($C:$C, $E:$E=P$1, $B:$B=$N17), """")"),"")</f>
        <v/>
      </c>
      <c r="Q17" s="13" t="str">
        <f>IFERROR(__xludf.DUMMYFUNCTION("IFERROR(FILTER($C:$C, $E:$E=Q$1, $B:$B=$N17), """")"),"")</f>
        <v/>
      </c>
      <c r="R17" s="13" t="str">
        <f>IFERROR(__xludf.DUMMYFUNCTION("IFERROR(FILTER($C:$C, $E:$E=R$1, $B:$B=$N17), """")"),"")</f>
        <v/>
      </c>
      <c r="W17" s="5"/>
      <c r="Y17" s="12"/>
    </row>
    <row r="18" ht="22.5" customHeight="1">
      <c r="A18" s="4">
        <v>17.0</v>
      </c>
      <c r="B18" s="5">
        <v>45658.45138888889</v>
      </c>
      <c r="C18" s="4">
        <v>1220.0</v>
      </c>
      <c r="D18" s="6" t="s">
        <v>11</v>
      </c>
      <c r="E18" s="4" t="s">
        <v>8</v>
      </c>
      <c r="O18" s="13" t="str">
        <f t="shared" si="3"/>
        <v/>
      </c>
      <c r="P18" s="13" t="str">
        <f>IFERROR(__xludf.DUMMYFUNCTION("IFERROR(FILTER($C:$C, $E:$E=P$1, $B:$B=$N18), """")"),"")</f>
        <v/>
      </c>
      <c r="Q18" s="13" t="str">
        <f>IFERROR(__xludf.DUMMYFUNCTION("IFERROR(FILTER($C:$C, $E:$E=Q$1, $B:$B=$N18), """")"),"")</f>
        <v/>
      </c>
      <c r="R18" s="13" t="str">
        <f>IFERROR(__xludf.DUMMYFUNCTION("IFERROR(FILTER($C:$C, $E:$E=R$1, $B:$B=$N18), """")"),"")</f>
        <v/>
      </c>
      <c r="W18" s="5"/>
      <c r="Y18" s="12"/>
    </row>
    <row r="19" ht="22.5" customHeight="1">
      <c r="A19" s="4">
        <v>18.0</v>
      </c>
      <c r="B19" s="5">
        <v>45658.45138888889</v>
      </c>
      <c r="C19" s="4">
        <v>941.0</v>
      </c>
      <c r="D19" s="6" t="s">
        <v>11</v>
      </c>
      <c r="E19" s="4" t="s">
        <v>9</v>
      </c>
      <c r="O19" s="13" t="str">
        <f t="shared" si="3"/>
        <v/>
      </c>
      <c r="P19" s="13" t="str">
        <f>IFERROR(__xludf.DUMMYFUNCTION("IFERROR(FILTER($C:$C, $E:$E=P$1, $B:$B=$N19), """")"),"")</f>
        <v/>
      </c>
      <c r="Q19" s="13" t="str">
        <f>IFERROR(__xludf.DUMMYFUNCTION("IFERROR(FILTER($C:$C, $E:$E=Q$1, $B:$B=$N19), """")"),"")</f>
        <v/>
      </c>
      <c r="R19" s="13" t="str">
        <f>IFERROR(__xludf.DUMMYFUNCTION("IFERROR(FILTER($C:$C, $E:$E=R$1, $B:$B=$N19), """")"),"")</f>
        <v/>
      </c>
      <c r="W19" s="5"/>
      <c r="Y19" s="12"/>
    </row>
    <row r="20" ht="22.5" customHeight="1">
      <c r="A20" s="4">
        <v>19.0</v>
      </c>
      <c r="B20" s="5">
        <v>45658.458333333336</v>
      </c>
      <c r="C20" s="4">
        <v>503.0</v>
      </c>
      <c r="D20" s="6" t="s">
        <v>11</v>
      </c>
      <c r="E20" s="4" t="s">
        <v>7</v>
      </c>
      <c r="O20" s="13" t="str">
        <f t="shared" si="3"/>
        <v/>
      </c>
      <c r="P20" s="13" t="str">
        <f>IFERROR(__xludf.DUMMYFUNCTION("IFERROR(FILTER($C:$C, $E:$E=P$1, $B:$B=$N20), """")"),"")</f>
        <v/>
      </c>
      <c r="Q20" s="13" t="str">
        <f>IFERROR(__xludf.DUMMYFUNCTION("IFERROR(FILTER($C:$C, $E:$E=Q$1, $B:$B=$N20), """")"),"")</f>
        <v/>
      </c>
      <c r="R20" s="13" t="str">
        <f>IFERROR(__xludf.DUMMYFUNCTION("IFERROR(FILTER($C:$C, $E:$E=R$1, $B:$B=$N20), """")"),"")</f>
        <v/>
      </c>
      <c r="W20" s="5"/>
      <c r="Y20" s="12"/>
    </row>
    <row r="21" ht="22.5" customHeight="1">
      <c r="A21" s="4">
        <v>20.0</v>
      </c>
      <c r="B21" s="5">
        <v>45658.458333333336</v>
      </c>
      <c r="C21" s="4">
        <v>1270.0</v>
      </c>
      <c r="D21" s="6" t="s">
        <v>11</v>
      </c>
      <c r="E21" s="4" t="s">
        <v>8</v>
      </c>
      <c r="O21" s="13" t="str">
        <f t="shared" si="3"/>
        <v/>
      </c>
      <c r="P21" s="13" t="str">
        <f>IFERROR(__xludf.DUMMYFUNCTION("IFERROR(FILTER($C:$C, $E:$E=P$1, $B:$B=$N21), """")"),"")</f>
        <v/>
      </c>
      <c r="Q21" s="13" t="str">
        <f>IFERROR(__xludf.DUMMYFUNCTION("IFERROR(FILTER($C:$C, $E:$E=Q$1, $B:$B=$N21), """")"),"")</f>
        <v/>
      </c>
      <c r="R21" s="13" t="str">
        <f>IFERROR(__xludf.DUMMYFUNCTION("IFERROR(FILTER($C:$C, $E:$E=R$1, $B:$B=$N21), """")"),"")</f>
        <v/>
      </c>
      <c r="W21" s="5"/>
      <c r="Y21" s="12"/>
    </row>
    <row r="22" ht="22.5" customHeight="1">
      <c r="A22" s="4">
        <v>21.0</v>
      </c>
      <c r="B22" s="5">
        <v>45658.458333333336</v>
      </c>
      <c r="C22" s="4">
        <v>938.0</v>
      </c>
      <c r="D22" s="6" t="s">
        <v>11</v>
      </c>
      <c r="E22" s="4" t="s">
        <v>9</v>
      </c>
      <c r="O22" s="13" t="str">
        <f t="shared" si="3"/>
        <v/>
      </c>
      <c r="P22" s="13" t="str">
        <f>IFERROR(__xludf.DUMMYFUNCTION("IFERROR(FILTER($C:$C, $E:$E=P$1, $B:$B=$N22), """")"),"")</f>
        <v/>
      </c>
      <c r="Q22" s="13" t="str">
        <f>IFERROR(__xludf.DUMMYFUNCTION("IFERROR(FILTER($C:$C, $E:$E=Q$1, $B:$B=$N22), """")"),"")</f>
        <v/>
      </c>
      <c r="R22" s="13" t="str">
        <f>IFERROR(__xludf.DUMMYFUNCTION("IFERROR(FILTER($C:$C, $E:$E=R$1, $B:$B=$N22), """")"),"")</f>
        <v/>
      </c>
    </row>
    <row r="23" ht="22.5" customHeight="1">
      <c r="A23" s="4">
        <v>22.0</v>
      </c>
      <c r="B23" s="5">
        <v>45658.46527777778</v>
      </c>
      <c r="C23" s="4">
        <v>549.0</v>
      </c>
      <c r="D23" s="6" t="s">
        <v>11</v>
      </c>
      <c r="E23" s="4" t="s">
        <v>7</v>
      </c>
      <c r="O23" s="13" t="str">
        <f t="shared" si="3"/>
        <v/>
      </c>
      <c r="P23" s="13" t="str">
        <f>IFERROR(__xludf.DUMMYFUNCTION("IFERROR(FILTER($C:$C, $E:$E=P$1, $B:$B=$N23), """")"),"")</f>
        <v/>
      </c>
      <c r="Q23" s="13" t="str">
        <f>IFERROR(__xludf.DUMMYFUNCTION("IFERROR(FILTER($C:$C, $E:$E=Q$1, $B:$B=$N23), """")"),"")</f>
        <v/>
      </c>
      <c r="R23" s="13" t="str">
        <f>IFERROR(__xludf.DUMMYFUNCTION("IFERROR(FILTER($C:$C, $E:$E=R$1, $B:$B=$N23), """")"),"")</f>
        <v/>
      </c>
    </row>
    <row r="24" ht="22.5" customHeight="1">
      <c r="A24" s="4">
        <v>23.0</v>
      </c>
      <c r="B24" s="5">
        <v>45658.46527777778</v>
      </c>
      <c r="C24" s="4">
        <v>1200.0</v>
      </c>
      <c r="D24" s="6" t="s">
        <v>11</v>
      </c>
      <c r="E24" s="4" t="s">
        <v>8</v>
      </c>
      <c r="O24" s="13" t="str">
        <f t="shared" si="3"/>
        <v/>
      </c>
      <c r="P24" s="13" t="str">
        <f>IFERROR(__xludf.DUMMYFUNCTION("IFERROR(FILTER($C:$C, $E:$E=P$1, $B:$B=$N24), """")"),"")</f>
        <v/>
      </c>
      <c r="Q24" s="13" t="str">
        <f>IFERROR(__xludf.DUMMYFUNCTION("IFERROR(FILTER($C:$C, $E:$E=Q$1, $B:$B=$N24), """")"),"")</f>
        <v/>
      </c>
      <c r="R24" s="13" t="str">
        <f>IFERROR(__xludf.DUMMYFUNCTION("IFERROR(FILTER($C:$C, $E:$E=R$1, $B:$B=$N24), """")"),"")</f>
        <v/>
      </c>
    </row>
    <row r="25" ht="22.5" customHeight="1">
      <c r="A25" s="4">
        <v>24.0</v>
      </c>
      <c r="B25" s="5">
        <v>45658.46527777778</v>
      </c>
      <c r="C25" s="4">
        <v>940.0</v>
      </c>
      <c r="D25" s="6" t="s">
        <v>11</v>
      </c>
      <c r="E25" s="4" t="s">
        <v>9</v>
      </c>
      <c r="O25" s="13" t="str">
        <f t="shared" si="3"/>
        <v/>
      </c>
      <c r="P25" s="13" t="str">
        <f>IFERROR(__xludf.DUMMYFUNCTION("IFERROR(FILTER($C:$C, $E:$E=P$1, $B:$B=$N25), """")"),"")</f>
        <v/>
      </c>
      <c r="Q25" s="13" t="str">
        <f>IFERROR(__xludf.DUMMYFUNCTION("IFERROR(FILTER($C:$C, $E:$E=Q$1, $B:$B=$N25), """")"),"")</f>
        <v/>
      </c>
      <c r="R25" s="13" t="str">
        <f>IFERROR(__xludf.DUMMYFUNCTION("IFERROR(FILTER($C:$C, $E:$E=R$1, $B:$B=$N25), """")"),"")</f>
        <v/>
      </c>
    </row>
    <row r="26" ht="22.5" customHeight="1">
      <c r="A26" s="4">
        <v>0.0</v>
      </c>
      <c r="B26" s="5">
        <v>45658.416666666664</v>
      </c>
      <c r="C26" s="4">
        <v>800.0</v>
      </c>
      <c r="D26" s="6" t="s">
        <v>11</v>
      </c>
      <c r="E26" s="4" t="s">
        <v>10</v>
      </c>
    </row>
    <row r="27" ht="22.5" customHeight="1">
      <c r="A27" s="4">
        <v>0.0</v>
      </c>
      <c r="B27" s="5">
        <v>45658.42361111111</v>
      </c>
      <c r="C27" s="4">
        <v>850.0</v>
      </c>
      <c r="D27" s="6" t="s">
        <v>11</v>
      </c>
      <c r="E27" s="4" t="s">
        <v>10</v>
      </c>
    </row>
    <row r="28" ht="22.5" customHeight="1">
      <c r="A28" s="4">
        <v>0.0</v>
      </c>
      <c r="B28" s="5">
        <v>45658.430555555555</v>
      </c>
      <c r="C28" s="4">
        <v>900.0</v>
      </c>
      <c r="D28" s="6" t="s">
        <v>11</v>
      </c>
      <c r="E28" s="4" t="s">
        <v>10</v>
      </c>
    </row>
    <row r="29" ht="22.5" customHeight="1">
      <c r="A29" s="4">
        <v>0.0</v>
      </c>
      <c r="B29" s="5">
        <v>45658.4375</v>
      </c>
      <c r="C29" s="4">
        <v>950.0</v>
      </c>
      <c r="D29" s="6" t="s">
        <v>11</v>
      </c>
      <c r="E29" s="4" t="s">
        <v>10</v>
      </c>
    </row>
    <row r="30" ht="22.5" customHeight="1">
      <c r="A30" s="4">
        <v>0.0</v>
      </c>
      <c r="B30" s="5">
        <v>45658.444444444445</v>
      </c>
      <c r="C30" s="4">
        <v>1000.0</v>
      </c>
      <c r="D30" s="6" t="s">
        <v>11</v>
      </c>
      <c r="E30" s="4" t="s">
        <v>10</v>
      </c>
    </row>
    <row r="31" ht="22.5" customHeight="1">
      <c r="A31" s="4">
        <v>0.0</v>
      </c>
      <c r="B31" s="5">
        <v>45658.45138888889</v>
      </c>
      <c r="C31" s="4">
        <v>1050.0</v>
      </c>
      <c r="D31" s="6" t="s">
        <v>11</v>
      </c>
      <c r="E31" s="4" t="s">
        <v>10</v>
      </c>
    </row>
    <row r="32" ht="22.5" customHeight="1">
      <c r="A32" s="4">
        <v>0.0</v>
      </c>
      <c r="B32" s="5">
        <v>45658.458333333336</v>
      </c>
      <c r="C32" s="4">
        <v>1100.0</v>
      </c>
      <c r="D32" s="6" t="s">
        <v>11</v>
      </c>
      <c r="E32" s="4" t="s">
        <v>10</v>
      </c>
    </row>
    <row r="33" ht="22.5" customHeight="1">
      <c r="A33" s="4">
        <v>0.0</v>
      </c>
      <c r="B33" s="5">
        <v>45658.46527777778</v>
      </c>
      <c r="C33" s="4">
        <v>1200.0</v>
      </c>
      <c r="D33" s="6" t="s">
        <v>11</v>
      </c>
      <c r="E33" s="4" t="s">
        <v>10</v>
      </c>
    </row>
    <row r="34" ht="22.5" customHeight="1">
      <c r="A34" s="4"/>
      <c r="B34" s="7"/>
      <c r="C34" s="4"/>
      <c r="D34" s="6"/>
      <c r="E34" s="4"/>
    </row>
    <row r="35" ht="22.5" customHeight="1">
      <c r="A35" s="4"/>
      <c r="B35" s="7"/>
      <c r="C35" s="4"/>
      <c r="D35" s="6"/>
      <c r="E35" s="4"/>
    </row>
    <row r="36" ht="22.5" customHeight="1">
      <c r="A36" s="4"/>
      <c r="B36" s="7"/>
      <c r="C36" s="4"/>
      <c r="D36" s="6"/>
      <c r="E36" s="4"/>
    </row>
    <row r="37" ht="22.5" customHeight="1">
      <c r="A37" s="4"/>
      <c r="B37" s="7"/>
      <c r="C37" s="4"/>
      <c r="D37" s="6"/>
      <c r="E37" s="4"/>
    </row>
    <row r="38" ht="22.5" customHeight="1">
      <c r="A38" s="4"/>
      <c r="B38" s="7"/>
      <c r="C38" s="4"/>
      <c r="D38" s="6"/>
      <c r="E38" s="4"/>
    </row>
    <row r="39" ht="22.5" customHeight="1">
      <c r="A39" s="4"/>
      <c r="B39" s="7"/>
      <c r="C39" s="4"/>
      <c r="D39" s="6"/>
      <c r="E39" s="4"/>
    </row>
    <row r="40" ht="22.5" customHeight="1">
      <c r="A40" s="4"/>
      <c r="B40" s="7"/>
      <c r="C40" s="4"/>
      <c r="D40" s="6"/>
      <c r="E40" s="4"/>
    </row>
    <row r="41" ht="22.5" customHeight="1">
      <c r="A41" s="4"/>
      <c r="B41" s="7"/>
      <c r="C41" s="4"/>
      <c r="D41" s="6"/>
      <c r="E41" s="4"/>
    </row>
    <row r="42" ht="22.5" customHeight="1">
      <c r="A42" s="4"/>
      <c r="B42" s="7"/>
      <c r="C42" s="4"/>
      <c r="D42" s="6"/>
      <c r="E42" s="4"/>
    </row>
    <row r="43" ht="22.5" customHeight="1">
      <c r="A43" s="4"/>
      <c r="B43" s="7"/>
      <c r="C43" s="4"/>
      <c r="D43" s="6"/>
      <c r="E43" s="4"/>
    </row>
    <row r="44" ht="22.5" customHeight="1">
      <c r="A44" s="4"/>
      <c r="B44" s="7"/>
      <c r="C44" s="4"/>
      <c r="D44" s="6"/>
      <c r="E44" s="4"/>
    </row>
    <row r="45" ht="22.5" customHeight="1">
      <c r="A45" s="4"/>
      <c r="B45" s="7"/>
      <c r="C45" s="4"/>
      <c r="D45" s="6"/>
      <c r="E45" s="4"/>
    </row>
    <row r="46" ht="22.5" customHeight="1">
      <c r="A46" s="4"/>
      <c r="B46" s="7"/>
      <c r="C46" s="4"/>
      <c r="D46" s="6"/>
      <c r="E46" s="4"/>
    </row>
    <row r="47" ht="22.5" customHeight="1">
      <c r="A47" s="4"/>
      <c r="B47" s="7"/>
      <c r="C47" s="4"/>
      <c r="D47" s="6"/>
      <c r="E47" s="4"/>
    </row>
    <row r="48" ht="22.5" customHeight="1">
      <c r="A48" s="4"/>
      <c r="B48" s="7"/>
      <c r="C48" s="4"/>
      <c r="D48" s="6"/>
      <c r="E48" s="4"/>
    </row>
    <row r="49" ht="22.5" customHeight="1">
      <c r="A49" s="4"/>
      <c r="B49" s="7"/>
      <c r="C49" s="4"/>
      <c r="D49" s="6"/>
      <c r="E49" s="4"/>
    </row>
  </sheetData>
  <dataValidations>
    <dataValidation type="custom" allowBlank="1" showDropDown="1" sqref="N2:N9 B2:B49">
      <formula1>OR(NOT(ISERROR(DATEVALUE(B2))), AND(ISNUMBER(B2), LEFT(CELL("format", B2))="D"))</formula1>
    </dataValidation>
    <dataValidation type="custom" allowBlank="1" showDropDown="1" sqref="P2:R9">
      <formula1>AND(ISNUMBER(P2),(NOT(OR(NOT(ISERROR(DATEVALUE(P2))), AND(ISNUMBER(P2), LEFT(CELL("format", P2))="D")))))</formula1>
    </dataValidation>
  </dataValidations>
  <drawing r:id="rId1"/>
  <tableParts count="3">
    <tablePart r:id="rId5"/>
    <tablePart r:id="rId6"/>
    <tablePart r:id="rId7"/>
  </tableParts>
</worksheet>
</file>