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elia\Downloads\"/>
    </mc:Choice>
  </mc:AlternateContent>
  <xr:revisionPtr revIDLastSave="0" documentId="8_{A2719BA0-E53C-46CD-A6B7-BD20969B405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ilh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4" i="1" l="1"/>
  <c r="S24" i="1"/>
  <c r="K27" i="1"/>
  <c r="K7" i="1"/>
  <c r="N2" i="1"/>
  <c r="N3" i="1" s="1"/>
  <c r="N4" i="1" s="1"/>
  <c r="N5" i="1" s="1"/>
  <c r="N6" i="1" s="1"/>
  <c r="N7" i="1" s="1"/>
  <c r="N8" i="1" s="1"/>
  <c r="N9" i="1" s="1"/>
  <c r="N10" i="1" s="1"/>
  <c r="N11" i="1" s="1"/>
  <c r="N12" i="1" s="1"/>
  <c r="N13" i="1" s="1"/>
  <c r="N14" i="1" s="1"/>
  <c r="N15" i="1" s="1"/>
  <c r="N16" i="1" s="1"/>
  <c r="N17" i="1" s="1"/>
  <c r="N18" i="1" s="1"/>
  <c r="N19" i="1" s="1"/>
  <c r="K3" i="1"/>
  <c r="K4" i="1"/>
  <c r="K5" i="1"/>
  <c r="K6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L2" i="1"/>
  <c r="L3" i="1" l="1"/>
  <c r="L4" i="1" s="1"/>
  <c r="L5" i="1" s="1"/>
  <c r="L6" i="1" s="1"/>
  <c r="L7" i="1" s="1"/>
  <c r="L8" i="1" s="1"/>
  <c r="L9" i="1" s="1"/>
  <c r="L10" i="1" s="1"/>
  <c r="L11" i="1" s="1"/>
  <c r="L12" i="1" s="1"/>
  <c r="L13" i="1" s="1"/>
  <c r="L14" i="1" s="1"/>
  <c r="L15" i="1" s="1"/>
  <c r="L16" i="1" s="1"/>
  <c r="L17" i="1" s="1"/>
  <c r="L18" i="1" s="1"/>
  <c r="L19" i="1" s="1"/>
  <c r="L20" i="1" s="1"/>
  <c r="L21" i="1" s="1"/>
  <c r="L22" i="1" s="1"/>
  <c r="L23" i="1" s="1"/>
  <c r="L24" i="1" s="1"/>
  <c r="L25" i="1" s="1"/>
  <c r="L26" i="1" s="1"/>
  <c r="L27" i="1" s="1"/>
  <c r="L28" i="1" s="1"/>
  <c r="L29" i="1" s="1"/>
  <c r="L30" i="1" s="1"/>
  <c r="L31" i="1" s="1"/>
  <c r="L32" i="1" s="1"/>
  <c r="L33" i="1" s="1"/>
  <c r="L34" i="1" s="1"/>
  <c r="L35" i="1" s="1"/>
  <c r="L36" i="1" s="1"/>
  <c r="L37" i="1" s="1"/>
  <c r="L38" i="1" s="1"/>
  <c r="L39" i="1" s="1"/>
  <c r="L40" i="1" s="1"/>
  <c r="L41" i="1" s="1"/>
  <c r="L42" i="1" s="1"/>
  <c r="L43" i="1" s="1"/>
  <c r="L44" i="1" s="1"/>
  <c r="L45" i="1" s="1"/>
  <c r="L46" i="1" s="1"/>
  <c r="L47" i="1" s="1"/>
  <c r="L48" i="1" s="1"/>
  <c r="L49" i="1" s="1"/>
  <c r="L50" i="1" s="1"/>
  <c r="L51" i="1" s="1"/>
  <c r="L52" i="1" s="1"/>
  <c r="L53" i="1" s="1"/>
  <c r="L54" i="1" s="1"/>
  <c r="L55" i="1" s="1"/>
  <c r="L56" i="1" s="1"/>
  <c r="L57" i="1" s="1"/>
  <c r="L58" i="1" s="1"/>
  <c r="L59" i="1" s="1"/>
  <c r="L60" i="1" s="1"/>
  <c r="L61" i="1" s="1"/>
  <c r="L62" i="1" s="1"/>
  <c r="L63" i="1" s="1"/>
  <c r="L64" i="1" s="1"/>
  <c r="L65" i="1" s="1"/>
  <c r="L66" i="1" s="1"/>
  <c r="L67" i="1" s="1"/>
  <c r="L68" i="1" s="1"/>
  <c r="L69" i="1" s="1"/>
  <c r="L70" i="1" s="1"/>
  <c r="L71" i="1" s="1"/>
  <c r="L72" i="1" s="1"/>
  <c r="L73" i="1" s="1"/>
  <c r="L74" i="1" s="1"/>
  <c r="L75" i="1" s="1"/>
  <c r="L76" i="1" s="1"/>
  <c r="L77" i="1" s="1"/>
  <c r="L78" i="1" s="1"/>
  <c r="L79" i="1" s="1"/>
  <c r="L80" i="1" s="1"/>
  <c r="L81" i="1" s="1"/>
  <c r="L82" i="1" s="1"/>
  <c r="L83" i="1" s="1"/>
  <c r="L84" i="1" s="1"/>
  <c r="L85" i="1" s="1"/>
  <c r="L86" i="1" s="1"/>
  <c r="L87" i="1" s="1"/>
  <c r="L88" i="1" s="1"/>
  <c r="L89" i="1" s="1"/>
  <c r="L90" i="1" s="1"/>
  <c r="L91" i="1" s="1"/>
  <c r="L92" i="1" s="1"/>
  <c r="N20" i="1"/>
  <c r="N21" i="1" s="1"/>
  <c r="N22" i="1" s="1"/>
  <c r="N23" i="1" s="1"/>
  <c r="N24" i="1" s="1"/>
  <c r="N25" i="1" s="1"/>
  <c r="N26" i="1" s="1"/>
  <c r="N27" i="1" s="1"/>
  <c r="N28" i="1" s="1"/>
  <c r="N29" i="1" s="1"/>
  <c r="N30" i="1" l="1"/>
  <c r="N31" i="1" s="1"/>
  <c r="N32" i="1" s="1"/>
  <c r="N33" i="1" s="1"/>
  <c r="N34" i="1" s="1"/>
  <c r="N35" i="1" s="1"/>
  <c r="N36" i="1" s="1"/>
  <c r="N37" i="1" s="1"/>
  <c r="N38" i="1" s="1"/>
  <c r="N39" i="1" s="1"/>
  <c r="N40" i="1" s="1"/>
  <c r="N41" i="1" s="1"/>
  <c r="N42" i="1" s="1"/>
  <c r="N43" i="1" s="1"/>
  <c r="N44" i="1" s="1"/>
  <c r="N45" i="1" s="1"/>
  <c r="N46" i="1" s="1"/>
  <c r="N47" i="1" s="1"/>
  <c r="N48" i="1" s="1"/>
  <c r="N49" i="1" s="1"/>
  <c r="N50" i="1" s="1"/>
  <c r="N51" i="1" s="1"/>
  <c r="N52" i="1" s="1"/>
  <c r="N53" i="1" s="1"/>
  <c r="N54" i="1" s="1"/>
  <c r="N55" i="1" s="1"/>
  <c r="N56" i="1" s="1"/>
  <c r="N57" i="1" s="1"/>
  <c r="N58" i="1" s="1"/>
  <c r="N59" i="1" s="1"/>
  <c r="N60" i="1" s="1"/>
  <c r="N61" i="1" s="1"/>
  <c r="N62" i="1" s="1"/>
  <c r="N63" i="1" s="1"/>
  <c r="N64" i="1" s="1"/>
  <c r="N65" i="1" s="1"/>
  <c r="N66" i="1" s="1"/>
  <c r="N67" i="1" s="1"/>
  <c r="N68" i="1" s="1"/>
  <c r="N69" i="1" s="1"/>
  <c r="N70" i="1" s="1"/>
  <c r="N71" i="1" s="1"/>
  <c r="N72" i="1" s="1"/>
  <c r="N73" i="1" s="1"/>
  <c r="N74" i="1" s="1"/>
  <c r="N75" i="1" s="1"/>
  <c r="N76" i="1" s="1"/>
  <c r="N77" i="1" s="1"/>
  <c r="N78" i="1" s="1"/>
  <c r="N79" i="1" s="1"/>
  <c r="N80" i="1" s="1"/>
  <c r="N81" i="1" s="1"/>
  <c r="N82" i="1" s="1"/>
  <c r="N83" i="1" s="1"/>
  <c r="N84" i="1" s="1"/>
  <c r="N85" i="1" s="1"/>
  <c r="N86" i="1" s="1"/>
  <c r="N87" i="1" s="1"/>
  <c r="N88" i="1" s="1"/>
  <c r="N89" i="1" s="1"/>
  <c r="N90" i="1" s="1"/>
  <c r="N91" i="1" s="1"/>
  <c r="N92" i="1" s="1"/>
</calcChain>
</file>

<file path=xl/sharedStrings.xml><?xml version="1.0" encoding="utf-8"?>
<sst xmlns="http://schemas.openxmlformats.org/spreadsheetml/2006/main" count="210" uniqueCount="118">
  <si>
    <t>Requisito</t>
  </si>
  <si>
    <t>Descrição</t>
  </si>
  <si>
    <t>Classificação</t>
  </si>
  <si>
    <t>Tamanho</t>
  </si>
  <si>
    <t>Tamanho em pontos</t>
  </si>
  <si>
    <t>Prioridade</t>
  </si>
  <si>
    <t>Sprint</t>
  </si>
  <si>
    <t>Resp</t>
  </si>
  <si>
    <t>Estruturar um simulador financeiro para assim mostrar possíveis ganhos usando nosso produto.</t>
  </si>
  <si>
    <t>Importante</t>
  </si>
  <si>
    <t>Projetar diagrama de negócios para apresentar a dinâmica do projeto ao cliente.</t>
  </si>
  <si>
    <t>Arthur</t>
  </si>
  <si>
    <t>Estruturar banco de dados do projeto</t>
  </si>
  <si>
    <t>Estruturar o banco de dados do projeto, contendo tabelas populadas com informações afim de simular o banco de dados  usando a ferramenta MySQL.</t>
  </si>
  <si>
    <t>Essencial</t>
  </si>
  <si>
    <t>Amanda</t>
  </si>
  <si>
    <t>Estruturar banco de dados (individual)</t>
  </si>
  <si>
    <t>Estruturar o banco de dados do projeto, contendo tabelas populadas com informações afim de simular o banco de dados usando a ferramenta MySQL. (versão individual).</t>
  </si>
  <si>
    <t>Estruturar e popular ferramenta de gestão</t>
  </si>
  <si>
    <t xml:space="preserve">Estruturar ferramenta de gestão (Trello) e popular com os backlogs afim de melhor organizar o projeto. </t>
  </si>
  <si>
    <t>Construir prototipo do site institucional usando a ferramenta "Figma".</t>
  </si>
  <si>
    <t>Criar e configurar projeto no GitHub</t>
  </si>
  <si>
    <t>Criar repositório para projeto no GitHub e configurar com todos os membros e ReadMe</t>
  </si>
  <si>
    <t>Documentar o projeto cumprindo com as orientações passadas nos documentos orientadores.</t>
  </si>
  <si>
    <t>Fazer setup de Client de Virtualização para simular o uso no projeto.</t>
  </si>
  <si>
    <t>Criar e organizar backlog</t>
  </si>
  <si>
    <t>Criar e organizar backlog na ferramenta excel seguindo as orientações do material de apoio.</t>
  </si>
  <si>
    <t>Criar página de cadastro estática contendo campos como: nome, contato (email e número) e senha.</t>
  </si>
  <si>
    <t>Mateus</t>
  </si>
  <si>
    <t>Criar opção de login de usuário contedo campos de validação de email e senha na tela de cadastro.</t>
  </si>
  <si>
    <t>Confeccionar protótipo de dashboards com Chart.JS para apresentar modelo pro cliente.</t>
  </si>
  <si>
    <t>Projetar página estática com informações sobre a empresa para o site institucional. (Implementar conceito de repetição).</t>
  </si>
  <si>
    <t>Criar opção de recuperação de senha do usuário na tela de cadastro.</t>
  </si>
  <si>
    <t>Desejável</t>
  </si>
  <si>
    <t>Construir diagrama de solução.</t>
  </si>
  <si>
    <t xml:space="preserve"> Inserir dados do arduído no banco de dados MySQL enquanto em uma maquina virtual.</t>
  </si>
  <si>
    <t>Realizar commit das atividades no GitHub afim de organizar o projeto.</t>
  </si>
  <si>
    <t>Organizar planinha de riscos seguindo o modelo apresentado.</t>
  </si>
  <si>
    <t>Montar primeira versão da modelagem lógica do banco de dados do projeto para assim vizualizar maneiras de estrutrar o banco de dados.</t>
  </si>
  <si>
    <t xml:space="preserve">Instalar MySQL no servidor de dados da solução, no caso uma VM Linux. </t>
  </si>
  <si>
    <t>Implementar novas informações no Backlog</t>
  </si>
  <si>
    <t>Implementar novas funções no Backlog como: Demanda, Pontuação e prioridade.</t>
  </si>
  <si>
    <t>Atualizar documentação</t>
  </si>
  <si>
    <t>Atualizar e implementar documentação a fim de mante-lá sempre acompanhando o projeto.</t>
  </si>
  <si>
    <t>Especificar Dashboard</t>
  </si>
  <si>
    <t>Definir uso, implementação e justificativa para o uso da Dashboard no projeto.</t>
  </si>
  <si>
    <t>Testar sensor do projeto</t>
  </si>
  <si>
    <t>Realizar a implementação e testes do sensor do projeto (MQ-6) com o Arduíno.</t>
  </si>
  <si>
    <t>Simular integração do sistema com o sensor</t>
  </si>
  <si>
    <t>Simular integração do sistema com o sensor por meio do Arduíno.</t>
  </si>
  <si>
    <t>Criar gráficos que interagem com os dados capturados pelo sensor para abstrair o uso do sensor no projeto.</t>
  </si>
  <si>
    <t>Usar APi Local/Sensor para assim integrar o Arduíno com o gráfico.</t>
  </si>
  <si>
    <t>Validar o Diagrama de solução com o professor Matheus Matos</t>
  </si>
  <si>
    <t>Realizar a validação do Diagrama de solução (Arquitetura técnica do projeto) com o professor de Introdução a S.O (Matheus Matos).</t>
  </si>
  <si>
    <t>G</t>
  </si>
  <si>
    <t>M</t>
  </si>
  <si>
    <t>P</t>
  </si>
  <si>
    <t>DIA</t>
  </si>
  <si>
    <t>META / DIA</t>
  </si>
  <si>
    <t>META IDEAL</t>
  </si>
  <si>
    <t>REALIZADO DO DIA</t>
  </si>
  <si>
    <t>PENDENTE</t>
  </si>
  <si>
    <t>Pontos a serem entregues</t>
  </si>
  <si>
    <t>Prazo para término (Dias)</t>
  </si>
  <si>
    <t>Média ideal por dia</t>
  </si>
  <si>
    <t>Isabella</t>
  </si>
  <si>
    <t>Todos</t>
  </si>
  <si>
    <t>Miguel</t>
  </si>
  <si>
    <t>Isabella / Manuella</t>
  </si>
  <si>
    <t xml:space="preserve">Manuella </t>
  </si>
  <si>
    <t>Manuella / Amanda</t>
  </si>
  <si>
    <t xml:space="preserve">Amanda / Mateus </t>
  </si>
  <si>
    <t>Amanda / Isabella</t>
  </si>
  <si>
    <t>Arthur / Amanda</t>
  </si>
  <si>
    <t>Desenvolver simulador financeiro</t>
  </si>
  <si>
    <t>Elaborar diagrama de negócio</t>
  </si>
  <si>
    <t>Documentar o projeto</t>
  </si>
  <si>
    <t>Desenvolver protótipo do site institucional</t>
  </si>
  <si>
    <t>Configurar cliente de virtualização</t>
  </si>
  <si>
    <t>Criar página de cadastro de usuários</t>
  </si>
  <si>
    <t>Implementar funcionalidade de login de usuários</t>
  </si>
  <si>
    <t>Desenvolver página de dashboards do sistema</t>
  </si>
  <si>
    <t>Criar página institucional do sistema</t>
  </si>
  <si>
    <t>Implementar funcionalidade de recuperação de senha</t>
  </si>
  <si>
    <t>Construir diagrama de solução da arquitetura técnica do projeto</t>
  </si>
  <si>
    <t>Inserir dados do Arduino no banco de dados MySQL em máquina virtual</t>
  </si>
  <si>
    <t>Realizar commits das atividades no repositório GitHub</t>
  </si>
  <si>
    <t>Organizar planilha de riscos do projeto</t>
  </si>
  <si>
    <t>Montar modelagem lógica do banco de dados do projeto (versão 1)</t>
  </si>
  <si>
    <t>Instalar MySQL no servidor de dados do projeto</t>
  </si>
  <si>
    <t>Criar gráficos para visualização dos dados do sensor</t>
  </si>
  <si>
    <t>Integrar API local ao sensor do sistema</t>
  </si>
  <si>
    <t>Implementar Ferramenta de HelpDesk</t>
  </si>
  <si>
    <t>Organizar Fluxograma de suporte</t>
  </si>
  <si>
    <t>Atualizar documentação de mudança</t>
  </si>
  <si>
    <t>Realizar teste integrado de Dashboard</t>
  </si>
  <si>
    <t>Realizar teste integrado da solução IoT</t>
  </si>
  <si>
    <t>Realizar teste integrado do Arduíno com o Banco de Dados</t>
  </si>
  <si>
    <t>Integrar Dat acqu ino com BobIa</t>
  </si>
  <si>
    <t>Fazer modelagem lógica e Script SQL Server</t>
  </si>
  <si>
    <t>Criar servidor utilizando VM Linux</t>
  </si>
  <si>
    <t>Fazer site  Operacional (Dashboard)</t>
  </si>
  <si>
    <t>Fazer site  Operacional (Sistema de Login e Cadastro)</t>
  </si>
  <si>
    <t>GG</t>
  </si>
  <si>
    <t>Realizar atas das reuniões</t>
  </si>
  <si>
    <t>Criar atas das reuniões afim de registrar os assuntos tratados</t>
  </si>
  <si>
    <t>Fazer site  Operacional (Dashboard) do projeto</t>
  </si>
  <si>
    <t>Integrar Dat acqu ino com BobIa do projeto.</t>
  </si>
  <si>
    <t>Realizar teste integrado de Dashboard do projeto.</t>
  </si>
  <si>
    <t>Realizar teste integrado da solução IoT do projeto.</t>
  </si>
  <si>
    <t>Realizar teste integrado do Arduíno com o Banco de Dados do projeto.</t>
  </si>
  <si>
    <t>Fazer modelagem lógica e Script SQL Server do projeto.</t>
  </si>
  <si>
    <t>Criar servidor utilizando VM Linux do projeto.</t>
  </si>
  <si>
    <t>Fazer site  Operacional (Sistema de Login e Cadastro) do projeto.</t>
  </si>
  <si>
    <t>Implementar Ferramenta de HelpDesk do projeto.</t>
  </si>
  <si>
    <t>Atualizar documentação de mudança do projeto.</t>
  </si>
  <si>
    <t>.</t>
  </si>
  <si>
    <t>Organizar Fluxograma de suporte do projeto.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</si>
</sst>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/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/>
      <bottom style="hair">
        <color theme="4" tint="-0.24994659260841701"/>
      </bottom>
      <diagonal/>
    </border>
    <border>
      <left style="hair">
        <color theme="4" tint="-0.24994659260841701"/>
      </left>
      <right/>
      <top/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 style="hair">
        <color theme="4" tint="-0.24994659260841701"/>
      </bottom>
      <diagonal/>
    </border>
    <border>
      <left style="hair">
        <color theme="4" tint="-0.24994659260841701"/>
      </left>
      <right/>
      <top style="hair">
        <color theme="4" tint="-0.24994659260841701"/>
      </top>
      <bottom style="hair">
        <color theme="4" tint="-0.24994659260841701"/>
      </bottom>
      <diagonal/>
    </border>
    <border>
      <left/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 style="hair">
        <color theme="4" tint="-0.24994659260841701"/>
      </right>
      <top style="hair">
        <color theme="4" tint="-0.24994659260841701"/>
      </top>
      <bottom/>
      <diagonal/>
    </border>
    <border>
      <left style="hair">
        <color theme="4" tint="-0.24994659260841701"/>
      </left>
      <right/>
      <top style="hair">
        <color theme="4" tint="-0.24994659260841701"/>
      </top>
      <bottom/>
      <diagonal/>
    </border>
    <border>
      <left style="medium">
        <color theme="9" tint="-0.499984740745262"/>
      </left>
      <right style="hair">
        <color theme="9" tint="-0.499984740745262"/>
      </right>
      <top style="medium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medium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medium">
        <color theme="9" tint="-0.499984740745262"/>
      </right>
      <top style="medium">
        <color theme="9" tint="-0.499984740745262"/>
      </top>
      <bottom style="hair">
        <color theme="9" tint="-0.499984740745262"/>
      </bottom>
      <diagonal/>
    </border>
    <border>
      <left style="medium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hair">
        <color theme="9" tint="-0.499984740745262"/>
      </left>
      <right style="medium">
        <color theme="9" tint="-0.499984740745262"/>
      </right>
      <top style="hair">
        <color theme="9" tint="-0.499984740745262"/>
      </top>
      <bottom style="hair">
        <color theme="9" tint="-0.499984740745262"/>
      </bottom>
      <diagonal/>
    </border>
    <border>
      <left style="medium">
        <color theme="9" tint="-0.499984740745262"/>
      </left>
      <right style="hair">
        <color theme="9" tint="-0.499984740745262"/>
      </right>
      <top style="hair">
        <color theme="9" tint="-0.499984740745262"/>
      </top>
      <bottom style="medium">
        <color theme="9" tint="-0.499984740745262"/>
      </bottom>
      <diagonal/>
    </border>
    <border>
      <left style="hair">
        <color theme="9" tint="-0.499984740745262"/>
      </left>
      <right style="hair">
        <color theme="9" tint="-0.499984740745262"/>
      </right>
      <top style="hair">
        <color theme="9" tint="-0.499984740745262"/>
      </top>
      <bottom style="medium">
        <color theme="9" tint="-0.499984740745262"/>
      </bottom>
      <diagonal/>
    </border>
    <border>
      <left style="hair">
        <color theme="9" tint="-0.499984740745262"/>
      </left>
      <right style="medium">
        <color theme="9" tint="-0.499984740745262"/>
      </right>
      <top style="hair">
        <color theme="9" tint="-0.499984740745262"/>
      </top>
      <bottom style="medium">
        <color theme="9" tint="-0.499984740745262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1" fontId="0" fillId="0" borderId="0" xfId="0" applyNumberForma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wrapText="1"/>
    </xf>
    <xf numFmtId="0" fontId="0" fillId="0" borderId="0" xfId="0" applyFill="1" applyAlignment="1">
      <alignment horizontal="center"/>
    </xf>
    <xf numFmtId="1" fontId="0" fillId="0" borderId="0" xfId="0" applyNumberFormat="1" applyFill="1" applyAlignment="1">
      <alignment horizontal="center"/>
    </xf>
    <xf numFmtId="0" fontId="1" fillId="0" borderId="2" xfId="0" applyFont="1" applyFill="1" applyBorder="1" applyAlignment="1">
      <alignment horizontal="center" vertical="center" wrapText="1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/>
    </xf>
    <xf numFmtId="0" fontId="0" fillId="0" borderId="10" xfId="0" applyFill="1" applyBorder="1" applyAlignment="1">
      <alignment horizontal="center"/>
    </xf>
    <xf numFmtId="1" fontId="0" fillId="0" borderId="11" xfId="0" applyNumberFormat="1" applyFill="1" applyBorder="1" applyAlignment="1">
      <alignment horizontal="center"/>
    </xf>
    <xf numFmtId="0" fontId="0" fillId="0" borderId="11" xfId="0" applyFill="1" applyBorder="1" applyAlignment="1">
      <alignment horizontal="center"/>
    </xf>
    <xf numFmtId="0" fontId="0" fillId="0" borderId="12" xfId="0" applyFill="1" applyBorder="1" applyAlignment="1">
      <alignment horizontal="center"/>
    </xf>
    <xf numFmtId="1" fontId="0" fillId="0" borderId="14" xfId="0" applyNumberFormat="1" applyFill="1" applyBorder="1" applyAlignment="1">
      <alignment horizontal="center" vertical="center"/>
    </xf>
    <xf numFmtId="0" fontId="0" fillId="0" borderId="13" xfId="0" applyFill="1" applyBorder="1" applyAlignment="1">
      <alignment horizontal="center" vertical="center"/>
    </xf>
    <xf numFmtId="0" fontId="0" fillId="0" borderId="14" xfId="0" applyFill="1" applyBorder="1" applyAlignment="1">
      <alignment horizontal="center" vertical="center"/>
    </xf>
    <xf numFmtId="0" fontId="0" fillId="0" borderId="15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1" fontId="0" fillId="0" borderId="17" xfId="0" applyNumberFormat="1" applyFill="1" applyBorder="1" applyAlignment="1">
      <alignment horizontal="center" vertical="center"/>
    </xf>
    <xf numFmtId="0" fontId="0" fillId="0" borderId="17" xfId="0" applyFill="1" applyBorder="1" applyAlignment="1">
      <alignment horizontal="center" vertical="center"/>
    </xf>
    <xf numFmtId="0" fontId="0" fillId="0" borderId="18" xfId="0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1" fillId="0" borderId="1" xfId="0" applyFont="1" applyFill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24">
    <dxf>
      <alignment horizontal="center" vertical="center" textRotation="0" wrapText="0" indent="0" justifyLastLine="0" shrinkToFit="0" readingOrder="0"/>
      <border diagonalUp="0" diagonalDown="0" outline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</border>
    </dxf>
    <dxf>
      <alignment horizontal="left" vertical="center" textRotation="0" wrapText="1" indent="0" justifyLastLine="0" shrinkToFit="0" readingOrder="0"/>
      <border diagonalUp="0" diagonalDown="0">
        <left/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</border>
    </dxf>
    <dxf>
      <alignment horizontal="center" vertical="bottom" textRotation="0" wrapText="0" indent="0" justifyLastLine="0" shrinkToFit="0" readingOrder="0"/>
    </dxf>
    <dxf>
      <numFmt numFmtId="1" formatCode="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/>
        <bottom/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center" vertical="bottom" textRotation="0" wrapText="0" indent="0" justifyLastLine="0" shrinkToFit="0" readingOrder="0"/>
      <border diagonalUp="0" diagonalDown="0">
        <left style="hair">
          <color theme="4" tint="-0.24994659260841701"/>
        </left>
        <right/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center" vertical="center" textRotation="0" wrapText="0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alignment horizontal="left" vertical="center" textRotation="0" wrapText="1" indent="0" justifyLastLine="0" shrinkToFit="0" readingOrder="0"/>
      <border diagonalUp="0" diagonalDown="0">
        <left style="hair">
          <color theme="4" tint="-0.24994659260841701"/>
        </left>
        <right style="hair">
          <color theme="4" tint="-0.24994659260841701"/>
        </right>
        <top style="hair">
          <color theme="4" tint="-0.24994659260841701"/>
        </top>
        <bottom style="hair">
          <color theme="4" tint="-0.24994659260841701"/>
        </bottom>
        <vertical style="hair">
          <color theme="4" tint="-0.24994659260841701"/>
        </vertical>
        <horizontal style="hair">
          <color theme="4" tint="-0.24994659260841701"/>
        </horizontal>
      </border>
    </dxf>
    <dxf>
      <border>
        <top style="hair">
          <color theme="4" tint="-0.24994659260841701"/>
        </top>
      </border>
    </dxf>
    <dxf>
      <border>
        <bottom style="hair">
          <color theme="4" tint="-0.24994659260841701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numFmt numFmtId="1" formatCode="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BURNDOWN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3.0146271220158685E-2"/>
          <c:y val="0.19368861375690433"/>
          <c:w val="0.96035916129621457"/>
          <c:h val="0.75319397645718555"/>
        </c:manualLayout>
      </c:layout>
      <c:lineChart>
        <c:grouping val="standard"/>
        <c:varyColors val="0"/>
        <c:ser>
          <c:idx val="2"/>
          <c:order val="2"/>
          <c:tx>
            <c:strRef>
              <c:f>Planilha1!$L$1</c:f>
              <c:strCache>
                <c:ptCount val="1"/>
                <c:pt idx="0">
                  <c:v>META IDEAL</c:v>
                </c:pt>
              </c:strCache>
            </c:strRef>
          </c:tx>
          <c:spPr>
            <a:ln w="31750" cap="rnd">
              <a:solidFill>
                <a:schemeClr val="accent1">
                  <a:lumMod val="7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Planilha1!$L$2:$L$92</c:f>
              <c:numCache>
                <c:formatCode>0</c:formatCode>
                <c:ptCount val="91"/>
                <c:pt idx="0">
                  <c:v>496</c:v>
                </c:pt>
                <c:pt idx="1">
                  <c:v>490.48888888888888</c:v>
                </c:pt>
                <c:pt idx="2">
                  <c:v>484.97777777777776</c:v>
                </c:pt>
                <c:pt idx="3">
                  <c:v>479.46666666666664</c:v>
                </c:pt>
                <c:pt idx="4">
                  <c:v>473.95555555555552</c:v>
                </c:pt>
                <c:pt idx="5">
                  <c:v>468.4444444444444</c:v>
                </c:pt>
                <c:pt idx="6">
                  <c:v>462.93333333333328</c:v>
                </c:pt>
                <c:pt idx="7">
                  <c:v>457.42222222222216</c:v>
                </c:pt>
                <c:pt idx="8">
                  <c:v>451.91111111111104</c:v>
                </c:pt>
                <c:pt idx="9">
                  <c:v>446.39999999999992</c:v>
                </c:pt>
                <c:pt idx="10">
                  <c:v>440.8888888888888</c:v>
                </c:pt>
                <c:pt idx="11">
                  <c:v>435.37777777777768</c:v>
                </c:pt>
                <c:pt idx="12">
                  <c:v>429.86666666666656</c:v>
                </c:pt>
                <c:pt idx="13">
                  <c:v>424.35555555555544</c:v>
                </c:pt>
                <c:pt idx="14">
                  <c:v>418.84444444444432</c:v>
                </c:pt>
                <c:pt idx="15">
                  <c:v>413.3333333333332</c:v>
                </c:pt>
                <c:pt idx="16">
                  <c:v>407.82222222222208</c:v>
                </c:pt>
                <c:pt idx="17">
                  <c:v>402.31111111111096</c:v>
                </c:pt>
                <c:pt idx="18">
                  <c:v>396.79999999999984</c:v>
                </c:pt>
                <c:pt idx="19">
                  <c:v>391.28888888888872</c:v>
                </c:pt>
                <c:pt idx="20">
                  <c:v>385.7777777777776</c:v>
                </c:pt>
                <c:pt idx="21">
                  <c:v>380.26666666666648</c:v>
                </c:pt>
                <c:pt idx="22">
                  <c:v>374.75555555555536</c:v>
                </c:pt>
                <c:pt idx="23">
                  <c:v>369.24444444444424</c:v>
                </c:pt>
                <c:pt idx="24">
                  <c:v>363.73333333333312</c:v>
                </c:pt>
                <c:pt idx="25">
                  <c:v>358.222222222222</c:v>
                </c:pt>
                <c:pt idx="26">
                  <c:v>352.71111111111088</c:v>
                </c:pt>
                <c:pt idx="27">
                  <c:v>347.19999999999976</c:v>
                </c:pt>
                <c:pt idx="28">
                  <c:v>341.68888888888864</c:v>
                </c:pt>
                <c:pt idx="29">
                  <c:v>336.17777777777752</c:v>
                </c:pt>
                <c:pt idx="30">
                  <c:v>330.6666666666664</c:v>
                </c:pt>
                <c:pt idx="31">
                  <c:v>325.15555555555528</c:v>
                </c:pt>
                <c:pt idx="32">
                  <c:v>319.64444444444416</c:v>
                </c:pt>
                <c:pt idx="33">
                  <c:v>314.13333333333304</c:v>
                </c:pt>
                <c:pt idx="34">
                  <c:v>308.62222222222192</c:v>
                </c:pt>
                <c:pt idx="35">
                  <c:v>303.1111111111108</c:v>
                </c:pt>
                <c:pt idx="36">
                  <c:v>297.59999999999968</c:v>
                </c:pt>
                <c:pt idx="37">
                  <c:v>292.08888888888856</c:v>
                </c:pt>
                <c:pt idx="38">
                  <c:v>286.57777777777744</c:v>
                </c:pt>
                <c:pt idx="39">
                  <c:v>281.06666666666632</c:v>
                </c:pt>
                <c:pt idx="40">
                  <c:v>275.5555555555552</c:v>
                </c:pt>
                <c:pt idx="41">
                  <c:v>270.04444444444408</c:v>
                </c:pt>
                <c:pt idx="42">
                  <c:v>264.53333333333296</c:v>
                </c:pt>
                <c:pt idx="43">
                  <c:v>259.02222222222184</c:v>
                </c:pt>
                <c:pt idx="44">
                  <c:v>253.51111111111072</c:v>
                </c:pt>
                <c:pt idx="45">
                  <c:v>247.9999999999996</c:v>
                </c:pt>
                <c:pt idx="46">
                  <c:v>242.48888888888848</c:v>
                </c:pt>
                <c:pt idx="47">
                  <c:v>236.97777777777736</c:v>
                </c:pt>
                <c:pt idx="48">
                  <c:v>231.46666666666624</c:v>
                </c:pt>
                <c:pt idx="49">
                  <c:v>225.95555555555512</c:v>
                </c:pt>
                <c:pt idx="50">
                  <c:v>220.444444444444</c:v>
                </c:pt>
                <c:pt idx="51">
                  <c:v>214.93333333333288</c:v>
                </c:pt>
                <c:pt idx="52">
                  <c:v>209.42222222222176</c:v>
                </c:pt>
                <c:pt idx="53">
                  <c:v>203.91111111111064</c:v>
                </c:pt>
                <c:pt idx="54">
                  <c:v>198.39999999999952</c:v>
                </c:pt>
                <c:pt idx="55">
                  <c:v>192.8888888888884</c:v>
                </c:pt>
                <c:pt idx="56">
                  <c:v>187.37777777777728</c:v>
                </c:pt>
                <c:pt idx="57">
                  <c:v>181.86666666666616</c:v>
                </c:pt>
                <c:pt idx="58">
                  <c:v>176.35555555555504</c:v>
                </c:pt>
                <c:pt idx="59">
                  <c:v>170.84444444444392</c:v>
                </c:pt>
                <c:pt idx="60">
                  <c:v>165.3333333333328</c:v>
                </c:pt>
                <c:pt idx="61">
                  <c:v>159.82222222222168</c:v>
                </c:pt>
                <c:pt idx="62">
                  <c:v>154.31111111111056</c:v>
                </c:pt>
                <c:pt idx="63">
                  <c:v>148.79999999999944</c:v>
                </c:pt>
                <c:pt idx="64">
                  <c:v>143.28888888888832</c:v>
                </c:pt>
                <c:pt idx="65">
                  <c:v>137.7777777777772</c:v>
                </c:pt>
                <c:pt idx="66">
                  <c:v>132.26666666666608</c:v>
                </c:pt>
                <c:pt idx="67">
                  <c:v>126.75555555555498</c:v>
                </c:pt>
                <c:pt idx="68">
                  <c:v>121.24444444444387</c:v>
                </c:pt>
                <c:pt idx="69">
                  <c:v>115.73333333333277</c:v>
                </c:pt>
                <c:pt idx="70">
                  <c:v>110.22222222222166</c:v>
                </c:pt>
                <c:pt idx="71">
                  <c:v>104.71111111111055</c:v>
                </c:pt>
                <c:pt idx="72">
                  <c:v>99.199999999999449</c:v>
                </c:pt>
                <c:pt idx="73">
                  <c:v>93.688888888888343</c:v>
                </c:pt>
                <c:pt idx="74">
                  <c:v>88.177777777777237</c:v>
                </c:pt>
                <c:pt idx="75">
                  <c:v>82.666666666666131</c:v>
                </c:pt>
                <c:pt idx="76">
                  <c:v>77.155555555555026</c:v>
                </c:pt>
                <c:pt idx="77">
                  <c:v>71.64444444444392</c:v>
                </c:pt>
                <c:pt idx="78">
                  <c:v>66.133333333332814</c:v>
                </c:pt>
                <c:pt idx="79">
                  <c:v>60.622222222221701</c:v>
                </c:pt>
                <c:pt idx="80">
                  <c:v>55.111111111110588</c:v>
                </c:pt>
                <c:pt idx="81">
                  <c:v>49.599999999999476</c:v>
                </c:pt>
                <c:pt idx="82">
                  <c:v>44.088888888888363</c:v>
                </c:pt>
                <c:pt idx="83">
                  <c:v>38.57777777777725</c:v>
                </c:pt>
                <c:pt idx="84">
                  <c:v>33.066666666666137</c:v>
                </c:pt>
                <c:pt idx="85">
                  <c:v>27.555555555555024</c:v>
                </c:pt>
                <c:pt idx="86">
                  <c:v>22.044444444443911</c:v>
                </c:pt>
                <c:pt idx="87">
                  <c:v>16.533333333332799</c:v>
                </c:pt>
                <c:pt idx="88">
                  <c:v>11.022222222221687</c:v>
                </c:pt>
                <c:pt idx="89">
                  <c:v>5.5111111111105764</c:v>
                </c:pt>
                <c:pt idx="90">
                  <c:v>-5.3468340865947539E-13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E3D-4233-840C-94F6574A596F}"/>
            </c:ext>
          </c:extLst>
        </c:ser>
        <c:ser>
          <c:idx val="4"/>
          <c:order val="4"/>
          <c:tx>
            <c:strRef>
              <c:f>Planilha1!$N$1</c:f>
              <c:strCache>
                <c:ptCount val="1"/>
                <c:pt idx="0">
                  <c:v>PENDENTE</c:v>
                </c:pt>
              </c:strCache>
            </c:strRef>
          </c:tx>
          <c:spPr>
            <a:ln w="3175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Planilha1!$N$2:$N$92</c:f>
              <c:numCache>
                <c:formatCode>General</c:formatCode>
                <c:ptCount val="91"/>
                <c:pt idx="0">
                  <c:v>496</c:v>
                </c:pt>
                <c:pt idx="1">
                  <c:v>494</c:v>
                </c:pt>
                <c:pt idx="2">
                  <c:v>490</c:v>
                </c:pt>
                <c:pt idx="3">
                  <c:v>488</c:v>
                </c:pt>
                <c:pt idx="4">
                  <c:v>486</c:v>
                </c:pt>
                <c:pt idx="5">
                  <c:v>478</c:v>
                </c:pt>
                <c:pt idx="6">
                  <c:v>465</c:v>
                </c:pt>
                <c:pt idx="7">
                  <c:v>465</c:v>
                </c:pt>
                <c:pt idx="8">
                  <c:v>465</c:v>
                </c:pt>
                <c:pt idx="9">
                  <c:v>463</c:v>
                </c:pt>
                <c:pt idx="10">
                  <c:v>463</c:v>
                </c:pt>
                <c:pt idx="11">
                  <c:v>461</c:v>
                </c:pt>
                <c:pt idx="12">
                  <c:v>456</c:v>
                </c:pt>
                <c:pt idx="13">
                  <c:v>448</c:v>
                </c:pt>
                <c:pt idx="14">
                  <c:v>435</c:v>
                </c:pt>
                <c:pt idx="15">
                  <c:v>433</c:v>
                </c:pt>
                <c:pt idx="16">
                  <c:v>431</c:v>
                </c:pt>
                <c:pt idx="17">
                  <c:v>413</c:v>
                </c:pt>
                <c:pt idx="18">
                  <c:v>408</c:v>
                </c:pt>
                <c:pt idx="19">
                  <c:v>403</c:v>
                </c:pt>
                <c:pt idx="20">
                  <c:v>399</c:v>
                </c:pt>
                <c:pt idx="21">
                  <c:v>386</c:v>
                </c:pt>
                <c:pt idx="22">
                  <c:v>386</c:v>
                </c:pt>
                <c:pt idx="23">
                  <c:v>386</c:v>
                </c:pt>
                <c:pt idx="24">
                  <c:v>384</c:v>
                </c:pt>
                <c:pt idx="25">
                  <c:v>382</c:v>
                </c:pt>
                <c:pt idx="26">
                  <c:v>364</c:v>
                </c:pt>
                <c:pt idx="27">
                  <c:v>351</c:v>
                </c:pt>
                <c:pt idx="28">
                  <c:v>349</c:v>
                </c:pt>
                <c:pt idx="29">
                  <c:v>341</c:v>
                </c:pt>
                <c:pt idx="30">
                  <c:v>328</c:v>
                </c:pt>
                <c:pt idx="31">
                  <c:v>313</c:v>
                </c:pt>
                <c:pt idx="32">
                  <c:v>311</c:v>
                </c:pt>
                <c:pt idx="33">
                  <c:v>308</c:v>
                </c:pt>
                <c:pt idx="34">
                  <c:v>308</c:v>
                </c:pt>
                <c:pt idx="35">
                  <c:v>308</c:v>
                </c:pt>
                <c:pt idx="36">
                  <c:v>308</c:v>
                </c:pt>
                <c:pt idx="37">
                  <c:v>308</c:v>
                </c:pt>
                <c:pt idx="38">
                  <c:v>308</c:v>
                </c:pt>
                <c:pt idx="39">
                  <c:v>308</c:v>
                </c:pt>
                <c:pt idx="40">
                  <c:v>306</c:v>
                </c:pt>
                <c:pt idx="41">
                  <c:v>306</c:v>
                </c:pt>
                <c:pt idx="42">
                  <c:v>306</c:v>
                </c:pt>
                <c:pt idx="43">
                  <c:v>306</c:v>
                </c:pt>
                <c:pt idx="44">
                  <c:v>306</c:v>
                </c:pt>
                <c:pt idx="45">
                  <c:v>306</c:v>
                </c:pt>
                <c:pt idx="46">
                  <c:v>306</c:v>
                </c:pt>
                <c:pt idx="47">
                  <c:v>306</c:v>
                </c:pt>
                <c:pt idx="48">
                  <c:v>306</c:v>
                </c:pt>
                <c:pt idx="49">
                  <c:v>306</c:v>
                </c:pt>
                <c:pt idx="50">
                  <c:v>306</c:v>
                </c:pt>
                <c:pt idx="51">
                  <c:v>306</c:v>
                </c:pt>
                <c:pt idx="52">
                  <c:v>306</c:v>
                </c:pt>
                <c:pt idx="53">
                  <c:v>306</c:v>
                </c:pt>
                <c:pt idx="54">
                  <c:v>306</c:v>
                </c:pt>
                <c:pt idx="55">
                  <c:v>306</c:v>
                </c:pt>
                <c:pt idx="56">
                  <c:v>306</c:v>
                </c:pt>
                <c:pt idx="57">
                  <c:v>306</c:v>
                </c:pt>
                <c:pt idx="58">
                  <c:v>306</c:v>
                </c:pt>
                <c:pt idx="59">
                  <c:v>306</c:v>
                </c:pt>
                <c:pt idx="60">
                  <c:v>306</c:v>
                </c:pt>
                <c:pt idx="61">
                  <c:v>306</c:v>
                </c:pt>
                <c:pt idx="62">
                  <c:v>306</c:v>
                </c:pt>
                <c:pt idx="63">
                  <c:v>306</c:v>
                </c:pt>
                <c:pt idx="64">
                  <c:v>306</c:v>
                </c:pt>
                <c:pt idx="65">
                  <c:v>306</c:v>
                </c:pt>
                <c:pt idx="66">
                  <c:v>306</c:v>
                </c:pt>
                <c:pt idx="67">
                  <c:v>306</c:v>
                </c:pt>
                <c:pt idx="68">
                  <c:v>306</c:v>
                </c:pt>
                <c:pt idx="69">
                  <c:v>306</c:v>
                </c:pt>
                <c:pt idx="70">
                  <c:v>306</c:v>
                </c:pt>
                <c:pt idx="71">
                  <c:v>306</c:v>
                </c:pt>
                <c:pt idx="72">
                  <c:v>306</c:v>
                </c:pt>
                <c:pt idx="73">
                  <c:v>306</c:v>
                </c:pt>
                <c:pt idx="74">
                  <c:v>306</c:v>
                </c:pt>
                <c:pt idx="75">
                  <c:v>306</c:v>
                </c:pt>
                <c:pt idx="76">
                  <c:v>306</c:v>
                </c:pt>
                <c:pt idx="77">
                  <c:v>306</c:v>
                </c:pt>
                <c:pt idx="78">
                  <c:v>306</c:v>
                </c:pt>
                <c:pt idx="79">
                  <c:v>306</c:v>
                </c:pt>
                <c:pt idx="80">
                  <c:v>306</c:v>
                </c:pt>
                <c:pt idx="81">
                  <c:v>306</c:v>
                </c:pt>
                <c:pt idx="82">
                  <c:v>306</c:v>
                </c:pt>
                <c:pt idx="83">
                  <c:v>306</c:v>
                </c:pt>
                <c:pt idx="84">
                  <c:v>306</c:v>
                </c:pt>
                <c:pt idx="85">
                  <c:v>306</c:v>
                </c:pt>
                <c:pt idx="86">
                  <c:v>306</c:v>
                </c:pt>
                <c:pt idx="87">
                  <c:v>306</c:v>
                </c:pt>
                <c:pt idx="88">
                  <c:v>306</c:v>
                </c:pt>
                <c:pt idx="89">
                  <c:v>306</c:v>
                </c:pt>
                <c:pt idx="90">
                  <c:v>160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E3D-4233-840C-94F6574A59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3867104"/>
        <c:axId val="173857984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Planilha1!$J$1</c15:sqref>
                        </c15:formulaRef>
                      </c:ext>
                    </c:extLst>
                    <c:strCache>
                      <c:ptCount val="1"/>
                      <c:pt idx="0">
                        <c:v>DIA</c:v>
                      </c:pt>
                    </c:strCache>
                  </c:strRef>
                </c:tx>
                <c:spPr>
                  <a:ln w="31750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uri="{02D57815-91ED-43cb-92C2-25804820EDAC}">
                        <c15:formulaRef>
                          <c15:sqref>Planilha1!$J$2:$J$92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  <c:pt idx="64">
                        <c:v>64</c:v>
                      </c:pt>
                      <c:pt idx="65">
                        <c:v>65</c:v>
                      </c:pt>
                      <c:pt idx="66">
                        <c:v>66</c:v>
                      </c:pt>
                      <c:pt idx="67">
                        <c:v>67</c:v>
                      </c:pt>
                      <c:pt idx="68">
                        <c:v>68</c:v>
                      </c:pt>
                      <c:pt idx="69">
                        <c:v>69</c:v>
                      </c:pt>
                      <c:pt idx="70">
                        <c:v>70</c:v>
                      </c:pt>
                      <c:pt idx="71">
                        <c:v>71</c:v>
                      </c:pt>
                      <c:pt idx="72">
                        <c:v>72</c:v>
                      </c:pt>
                      <c:pt idx="73">
                        <c:v>73</c:v>
                      </c:pt>
                      <c:pt idx="74">
                        <c:v>74</c:v>
                      </c:pt>
                      <c:pt idx="75">
                        <c:v>75</c:v>
                      </c:pt>
                      <c:pt idx="76">
                        <c:v>76</c:v>
                      </c:pt>
                      <c:pt idx="77">
                        <c:v>77</c:v>
                      </c:pt>
                      <c:pt idx="78">
                        <c:v>78</c:v>
                      </c:pt>
                      <c:pt idx="79">
                        <c:v>79</c:v>
                      </c:pt>
                      <c:pt idx="80">
                        <c:v>80</c:v>
                      </c:pt>
                      <c:pt idx="81">
                        <c:v>81</c:v>
                      </c:pt>
                      <c:pt idx="82">
                        <c:v>82</c:v>
                      </c:pt>
                      <c:pt idx="83">
                        <c:v>83</c:v>
                      </c:pt>
                      <c:pt idx="84">
                        <c:v>84</c:v>
                      </c:pt>
                      <c:pt idx="85">
                        <c:v>85</c:v>
                      </c:pt>
                      <c:pt idx="86">
                        <c:v>86</c:v>
                      </c:pt>
                      <c:pt idx="87">
                        <c:v>87</c:v>
                      </c:pt>
                      <c:pt idx="88">
                        <c:v>88</c:v>
                      </c:pt>
                      <c:pt idx="89">
                        <c:v>89</c:v>
                      </c:pt>
                      <c:pt idx="90">
                        <c:v>90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E3D-4233-840C-94F6574A596F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Planilha1!$K$1</c15:sqref>
                        </c15:formulaRef>
                      </c:ext>
                    </c:extLst>
                    <c:strCache>
                      <c:ptCount val="1"/>
                      <c:pt idx="0">
                        <c:v>META / DIA</c:v>
                      </c:pt>
                    </c:strCache>
                  </c:strRef>
                </c:tx>
                <c:spPr>
                  <a:ln w="317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Planilha1!$K$2:$K$92</c15:sqref>
                        </c15:formulaRef>
                      </c:ext>
                    </c:extLst>
                    <c:numCache>
                      <c:formatCode>0</c:formatCode>
                      <c:ptCount val="91"/>
                      <c:pt idx="0">
                        <c:v>0</c:v>
                      </c:pt>
                      <c:pt idx="1">
                        <c:v>5.5111111111111111</c:v>
                      </c:pt>
                      <c:pt idx="2">
                        <c:v>5.5111111111111111</c:v>
                      </c:pt>
                      <c:pt idx="3">
                        <c:v>5.5111111111111111</c:v>
                      </c:pt>
                      <c:pt idx="4">
                        <c:v>5.5111111111111111</c:v>
                      </c:pt>
                      <c:pt idx="5">
                        <c:v>5.5111111111111111</c:v>
                      </c:pt>
                      <c:pt idx="6">
                        <c:v>5.5111111111111111</c:v>
                      </c:pt>
                      <c:pt idx="7">
                        <c:v>5.5111111111111111</c:v>
                      </c:pt>
                      <c:pt idx="8">
                        <c:v>5.5111111111111111</c:v>
                      </c:pt>
                      <c:pt idx="9">
                        <c:v>5.5111111111111111</c:v>
                      </c:pt>
                      <c:pt idx="10">
                        <c:v>5.5111111111111111</c:v>
                      </c:pt>
                      <c:pt idx="11">
                        <c:v>5.5111111111111111</c:v>
                      </c:pt>
                      <c:pt idx="12">
                        <c:v>5.5111111111111111</c:v>
                      </c:pt>
                      <c:pt idx="13">
                        <c:v>5.5111111111111111</c:v>
                      </c:pt>
                      <c:pt idx="14">
                        <c:v>5.5111111111111111</c:v>
                      </c:pt>
                      <c:pt idx="15">
                        <c:v>5.5111111111111111</c:v>
                      </c:pt>
                      <c:pt idx="16">
                        <c:v>5.5111111111111111</c:v>
                      </c:pt>
                      <c:pt idx="17">
                        <c:v>5.5111111111111111</c:v>
                      </c:pt>
                      <c:pt idx="18">
                        <c:v>5.5111111111111111</c:v>
                      </c:pt>
                      <c:pt idx="19">
                        <c:v>5.5111111111111111</c:v>
                      </c:pt>
                      <c:pt idx="20">
                        <c:v>5.5111111111111111</c:v>
                      </c:pt>
                      <c:pt idx="21">
                        <c:v>5.5111111111111111</c:v>
                      </c:pt>
                      <c:pt idx="22">
                        <c:v>5.5111111111111111</c:v>
                      </c:pt>
                      <c:pt idx="23">
                        <c:v>5.5111111111111111</c:v>
                      </c:pt>
                      <c:pt idx="24">
                        <c:v>5.5111111111111111</c:v>
                      </c:pt>
                      <c:pt idx="25">
                        <c:v>5.5111111111111111</c:v>
                      </c:pt>
                      <c:pt idx="26">
                        <c:v>5.5111111111111111</c:v>
                      </c:pt>
                      <c:pt idx="27">
                        <c:v>5.5111111111111111</c:v>
                      </c:pt>
                      <c:pt idx="28">
                        <c:v>5.5111111111111111</c:v>
                      </c:pt>
                      <c:pt idx="29">
                        <c:v>5.5111111111111111</c:v>
                      </c:pt>
                      <c:pt idx="30">
                        <c:v>5.5111111111111111</c:v>
                      </c:pt>
                      <c:pt idx="31">
                        <c:v>5.5111111111111111</c:v>
                      </c:pt>
                      <c:pt idx="32">
                        <c:v>5.5111111111111111</c:v>
                      </c:pt>
                      <c:pt idx="33">
                        <c:v>5.5111111111111111</c:v>
                      </c:pt>
                      <c:pt idx="34">
                        <c:v>5.5111111111111111</c:v>
                      </c:pt>
                      <c:pt idx="35">
                        <c:v>5.5111111111111111</c:v>
                      </c:pt>
                      <c:pt idx="36">
                        <c:v>5.5111111111111111</c:v>
                      </c:pt>
                      <c:pt idx="37">
                        <c:v>5.5111111111111111</c:v>
                      </c:pt>
                      <c:pt idx="38">
                        <c:v>5.5111111111111111</c:v>
                      </c:pt>
                      <c:pt idx="39">
                        <c:v>5.5111111111111111</c:v>
                      </c:pt>
                      <c:pt idx="40">
                        <c:v>5.5111111111111111</c:v>
                      </c:pt>
                      <c:pt idx="41">
                        <c:v>5.5111111111111111</c:v>
                      </c:pt>
                      <c:pt idx="42">
                        <c:v>5.5111111111111111</c:v>
                      </c:pt>
                      <c:pt idx="43">
                        <c:v>5.5111111111111111</c:v>
                      </c:pt>
                      <c:pt idx="44">
                        <c:v>5.5111111111111111</c:v>
                      </c:pt>
                      <c:pt idx="45">
                        <c:v>5.5111111111111111</c:v>
                      </c:pt>
                      <c:pt idx="46">
                        <c:v>5.5111111111111111</c:v>
                      </c:pt>
                      <c:pt idx="47">
                        <c:v>5.5111111111111111</c:v>
                      </c:pt>
                      <c:pt idx="48">
                        <c:v>5.5111111111111111</c:v>
                      </c:pt>
                      <c:pt idx="49">
                        <c:v>5.5111111111111111</c:v>
                      </c:pt>
                      <c:pt idx="50">
                        <c:v>5.5111111111111111</c:v>
                      </c:pt>
                      <c:pt idx="51">
                        <c:v>5.5111111111111111</c:v>
                      </c:pt>
                      <c:pt idx="52">
                        <c:v>5.5111111111111111</c:v>
                      </c:pt>
                      <c:pt idx="53">
                        <c:v>5.5111111111111111</c:v>
                      </c:pt>
                      <c:pt idx="54">
                        <c:v>5.5111111111111111</c:v>
                      </c:pt>
                      <c:pt idx="55">
                        <c:v>5.5111111111111111</c:v>
                      </c:pt>
                      <c:pt idx="56">
                        <c:v>5.5111111111111111</c:v>
                      </c:pt>
                      <c:pt idx="57">
                        <c:v>5.5111111111111111</c:v>
                      </c:pt>
                      <c:pt idx="58">
                        <c:v>5.5111111111111111</c:v>
                      </c:pt>
                      <c:pt idx="59">
                        <c:v>5.5111111111111111</c:v>
                      </c:pt>
                      <c:pt idx="60">
                        <c:v>5.5111111111111111</c:v>
                      </c:pt>
                      <c:pt idx="61">
                        <c:v>5.5111111111111111</c:v>
                      </c:pt>
                      <c:pt idx="62">
                        <c:v>5.5111111111111111</c:v>
                      </c:pt>
                      <c:pt idx="63">
                        <c:v>5.5111111111111111</c:v>
                      </c:pt>
                      <c:pt idx="64">
                        <c:v>5.5111111111111111</c:v>
                      </c:pt>
                      <c:pt idx="65">
                        <c:v>5.5111111111111111</c:v>
                      </c:pt>
                      <c:pt idx="66">
                        <c:v>5.5111111111111111</c:v>
                      </c:pt>
                      <c:pt idx="67">
                        <c:v>5.5111111111111111</c:v>
                      </c:pt>
                      <c:pt idx="68">
                        <c:v>5.5111111111111111</c:v>
                      </c:pt>
                      <c:pt idx="69">
                        <c:v>5.5111111111111111</c:v>
                      </c:pt>
                      <c:pt idx="70">
                        <c:v>5.5111111111111111</c:v>
                      </c:pt>
                      <c:pt idx="71">
                        <c:v>5.5111111111111111</c:v>
                      </c:pt>
                      <c:pt idx="72">
                        <c:v>5.5111111111111111</c:v>
                      </c:pt>
                      <c:pt idx="73">
                        <c:v>5.5111111111111111</c:v>
                      </c:pt>
                      <c:pt idx="74">
                        <c:v>5.5111111111111111</c:v>
                      </c:pt>
                      <c:pt idx="75">
                        <c:v>5.5111111111111111</c:v>
                      </c:pt>
                      <c:pt idx="76">
                        <c:v>5.5111111111111111</c:v>
                      </c:pt>
                      <c:pt idx="77">
                        <c:v>5.5111111111111111</c:v>
                      </c:pt>
                      <c:pt idx="78">
                        <c:v>5.5111111111111111</c:v>
                      </c:pt>
                      <c:pt idx="79">
                        <c:v>5.5111111111111111</c:v>
                      </c:pt>
                      <c:pt idx="80">
                        <c:v>5.5111111111111111</c:v>
                      </c:pt>
                      <c:pt idx="81">
                        <c:v>5.5111111111111111</c:v>
                      </c:pt>
                      <c:pt idx="82">
                        <c:v>5.5111111111111111</c:v>
                      </c:pt>
                      <c:pt idx="83">
                        <c:v>5.5111111111111111</c:v>
                      </c:pt>
                      <c:pt idx="84">
                        <c:v>5.5111111111111111</c:v>
                      </c:pt>
                      <c:pt idx="85">
                        <c:v>5.5111111111111111</c:v>
                      </c:pt>
                      <c:pt idx="86">
                        <c:v>5.5111111111111111</c:v>
                      </c:pt>
                      <c:pt idx="87">
                        <c:v>5.5111111111111111</c:v>
                      </c:pt>
                      <c:pt idx="88">
                        <c:v>5.5111111111111111</c:v>
                      </c:pt>
                      <c:pt idx="89">
                        <c:v>5.5111111111111111</c:v>
                      </c:pt>
                      <c:pt idx="90">
                        <c:v>5.5111111111111111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DE3D-4233-840C-94F6574A596F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>
                      <c:ext xmlns:c15="http://schemas.microsoft.com/office/drawing/2012/chart" uri="{02D57815-91ED-43cb-92C2-25804820EDAC}">
                        <c15:formulaRef>
                          <c15:sqref>Planilha1!$M$1</c15:sqref>
                        </c15:formulaRef>
                      </c:ext>
                    </c:extLst>
                    <c:strCache>
                      <c:ptCount val="1"/>
                      <c:pt idx="0">
                        <c:v>REALIZADO DO DIA</c:v>
                      </c:pt>
                    </c:strCache>
                  </c:strRef>
                </c:tx>
                <c:spPr>
                  <a:ln w="31750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ormulaRef>
                          <c15:sqref>Planilha1!$M$2:$M$92</c15:sqref>
                        </c15:formulaRef>
                      </c:ext>
                    </c:extLst>
                    <c:numCache>
                      <c:formatCode>General</c:formatCode>
                      <c:ptCount val="91"/>
                      <c:pt idx="0">
                        <c:v>0</c:v>
                      </c:pt>
                      <c:pt idx="1">
                        <c:v>2</c:v>
                      </c:pt>
                      <c:pt idx="2">
                        <c:v>4</c:v>
                      </c:pt>
                      <c:pt idx="3">
                        <c:v>2</c:v>
                      </c:pt>
                      <c:pt idx="4">
                        <c:v>2</c:v>
                      </c:pt>
                      <c:pt idx="5">
                        <c:v>8</c:v>
                      </c:pt>
                      <c:pt idx="6">
                        <c:v>13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</c:v>
                      </c:pt>
                      <c:pt idx="10">
                        <c:v>0</c:v>
                      </c:pt>
                      <c:pt idx="11">
                        <c:v>2</c:v>
                      </c:pt>
                      <c:pt idx="12">
                        <c:v>5</c:v>
                      </c:pt>
                      <c:pt idx="13">
                        <c:v>8</c:v>
                      </c:pt>
                      <c:pt idx="14">
                        <c:v>13</c:v>
                      </c:pt>
                      <c:pt idx="15">
                        <c:v>2</c:v>
                      </c:pt>
                      <c:pt idx="16">
                        <c:v>2</c:v>
                      </c:pt>
                      <c:pt idx="17">
                        <c:v>18</c:v>
                      </c:pt>
                      <c:pt idx="18">
                        <c:v>5</c:v>
                      </c:pt>
                      <c:pt idx="19">
                        <c:v>5</c:v>
                      </c:pt>
                      <c:pt idx="20">
                        <c:v>4</c:v>
                      </c:pt>
                      <c:pt idx="21">
                        <c:v>13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2</c:v>
                      </c:pt>
                      <c:pt idx="25">
                        <c:v>2</c:v>
                      </c:pt>
                      <c:pt idx="26">
                        <c:v>18</c:v>
                      </c:pt>
                      <c:pt idx="27">
                        <c:v>13</c:v>
                      </c:pt>
                      <c:pt idx="28">
                        <c:v>2</c:v>
                      </c:pt>
                      <c:pt idx="29">
                        <c:v>8</c:v>
                      </c:pt>
                      <c:pt idx="30">
                        <c:v>13</c:v>
                      </c:pt>
                      <c:pt idx="31">
                        <c:v>15</c:v>
                      </c:pt>
                      <c:pt idx="32">
                        <c:v>2</c:v>
                      </c:pt>
                      <c:pt idx="33">
                        <c:v>3</c:v>
                      </c:pt>
                      <c:pt idx="34">
                        <c:v>0</c:v>
                      </c:pt>
                      <c:pt idx="35">
                        <c:v>0</c:v>
                      </c:pt>
                      <c:pt idx="36">
                        <c:v>0</c:v>
                      </c:pt>
                      <c:pt idx="37">
                        <c:v>0</c:v>
                      </c:pt>
                      <c:pt idx="38">
                        <c:v>0</c:v>
                      </c:pt>
                      <c:pt idx="39">
                        <c:v>0</c:v>
                      </c:pt>
                      <c:pt idx="40">
                        <c:v>2</c:v>
                      </c:pt>
                      <c:pt idx="41">
                        <c:v>0</c:v>
                      </c:pt>
                      <c:pt idx="42">
                        <c:v>0</c:v>
                      </c:pt>
                      <c:pt idx="43">
                        <c:v>0</c:v>
                      </c:pt>
                      <c:pt idx="44">
                        <c:v>0</c:v>
                      </c:pt>
                      <c:pt idx="45">
                        <c:v>0</c:v>
                      </c:pt>
                      <c:pt idx="46">
                        <c:v>0</c:v>
                      </c:pt>
                      <c:pt idx="47">
                        <c:v>0</c:v>
                      </c:pt>
                      <c:pt idx="48">
                        <c:v>0</c:v>
                      </c:pt>
                      <c:pt idx="49">
                        <c:v>0</c:v>
                      </c:pt>
                      <c:pt idx="50">
                        <c:v>0</c:v>
                      </c:pt>
                      <c:pt idx="51">
                        <c:v>0</c:v>
                      </c:pt>
                      <c:pt idx="52">
                        <c:v>0</c:v>
                      </c:pt>
                      <c:pt idx="53">
                        <c:v>0</c:v>
                      </c:pt>
                      <c:pt idx="54">
                        <c:v>0</c:v>
                      </c:pt>
                      <c:pt idx="55">
                        <c:v>0</c:v>
                      </c:pt>
                      <c:pt idx="56">
                        <c:v>0</c:v>
                      </c:pt>
                      <c:pt idx="57">
                        <c:v>0</c:v>
                      </c:pt>
                      <c:pt idx="58">
                        <c:v>0</c:v>
                      </c:pt>
                      <c:pt idx="59">
                        <c:v>0</c:v>
                      </c:pt>
                      <c:pt idx="60">
                        <c:v>0</c:v>
                      </c:pt>
                      <c:pt idx="61">
                        <c:v>0</c:v>
                      </c:pt>
                      <c:pt idx="62">
                        <c:v>0</c:v>
                      </c:pt>
                      <c:pt idx="63">
                        <c:v>0</c:v>
                      </c:pt>
                      <c:pt idx="64">
                        <c:v>0</c:v>
                      </c:pt>
                      <c:pt idx="65">
                        <c:v>0</c:v>
                      </c:pt>
                      <c:pt idx="66">
                        <c:v>0</c:v>
                      </c:pt>
                      <c:pt idx="67">
                        <c:v>0</c:v>
                      </c:pt>
                      <c:pt idx="68">
                        <c:v>0</c:v>
                      </c:pt>
                      <c:pt idx="69">
                        <c:v>0</c:v>
                      </c:pt>
                      <c:pt idx="70">
                        <c:v>0</c:v>
                      </c:pt>
                      <c:pt idx="71">
                        <c:v>0</c:v>
                      </c:pt>
                      <c:pt idx="72">
                        <c:v>0</c:v>
                      </c:pt>
                      <c:pt idx="73">
                        <c:v>0</c:v>
                      </c:pt>
                      <c:pt idx="74">
                        <c:v>0</c:v>
                      </c:pt>
                      <c:pt idx="75">
                        <c:v>0</c:v>
                      </c:pt>
                      <c:pt idx="76">
                        <c:v>0</c:v>
                      </c:pt>
                      <c:pt idx="77">
                        <c:v>0</c:v>
                      </c:pt>
                      <c:pt idx="78">
                        <c:v>0</c:v>
                      </c:pt>
                      <c:pt idx="79">
                        <c:v>0</c:v>
                      </c:pt>
                      <c:pt idx="80">
                        <c:v>0</c:v>
                      </c:pt>
                      <c:pt idx="81">
                        <c:v>0</c:v>
                      </c:pt>
                      <c:pt idx="82">
                        <c:v>0</c:v>
                      </c:pt>
                      <c:pt idx="83">
                        <c:v>0</c:v>
                      </c:pt>
                      <c:pt idx="84">
                        <c:v>0</c:v>
                      </c:pt>
                      <c:pt idx="85">
                        <c:v>0</c:v>
                      </c:pt>
                      <c:pt idx="86">
                        <c:v>0</c:v>
                      </c:pt>
                      <c:pt idx="87">
                        <c:v>0</c:v>
                      </c:pt>
                      <c:pt idx="88">
                        <c:v>0</c:v>
                      </c:pt>
                      <c:pt idx="89">
                        <c:v>0</c:v>
                      </c:pt>
                      <c:pt idx="90">
                        <c:v>146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DE3D-4233-840C-94F6574A596F}"/>
                  </c:ext>
                </c:extLst>
              </c15:ser>
            </c15:filteredLineSeries>
          </c:ext>
        </c:extLst>
      </c:lineChart>
      <c:catAx>
        <c:axId val="173867104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57984"/>
        <c:crosses val="autoZero"/>
        <c:auto val="0"/>
        <c:lblAlgn val="ctr"/>
        <c:lblOffset val="100"/>
        <c:noMultiLvlLbl val="0"/>
      </c:catAx>
      <c:valAx>
        <c:axId val="17385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738671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46555720195141564"/>
          <c:y val="7.7039545504326248E-2"/>
          <c:w val="5.162630093667539E-2"/>
          <c:h val="7.60629844128981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gradFill>
        <a:gsLst>
          <a:gs pos="12000">
            <a:schemeClr val="accent1">
              <a:lumMod val="5000"/>
              <a:lumOff val="95000"/>
            </a:schemeClr>
          </a:gs>
          <a:gs pos="83000">
            <a:schemeClr val="accent1">
              <a:lumMod val="45000"/>
              <a:lumOff val="55000"/>
            </a:schemeClr>
          </a:gs>
          <a:gs pos="100000">
            <a:schemeClr val="accent1">
              <a:lumMod val="30000"/>
              <a:lumOff val="70000"/>
            </a:schemeClr>
          </a:gs>
        </a:gsLst>
        <a:lin ang="5400000" scaled="1"/>
      </a:gra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281811</xdr:colOff>
      <xdr:row>0</xdr:row>
      <xdr:rowOff>217715</xdr:rowOff>
    </xdr:from>
    <xdr:to>
      <xdr:col>38</xdr:col>
      <xdr:colOff>532191</xdr:colOff>
      <xdr:row>20</xdr:row>
      <xdr:rowOff>290287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E245D36-7575-74B0-666A-94186FF31E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60B8112-1E6A-4A5E-83AA-5971B2160CF5}" name="Tabela2" displayName="Tabela2" ref="J1:N1048576" totalsRowShown="0" headerRowDxfId="17" dataDxfId="16">
  <autoFilter ref="J1:N1048576" xr:uid="{260B8112-1E6A-4A5E-83AA-5971B2160CF5}"/>
  <tableColumns count="5">
    <tableColumn id="1" xr3:uid="{EC22AC2F-A0B6-4496-9AB0-7FD569463C7D}" name="DIA" dataDxfId="22"/>
    <tableColumn id="2" xr3:uid="{1425C666-BFD2-41AC-9C02-C3F2DA841CD9}" name="META / DIA" dataDxfId="21"/>
    <tableColumn id="3" xr3:uid="{0DCE1915-5A7D-43B8-A6D1-EAABB8C4C172}" name="META IDEAL" dataDxfId="20"/>
    <tableColumn id="4" xr3:uid="{ADEE6E73-8142-409C-B16F-6295F6E6EB33}" name="REALIZADO DO DIA" dataDxfId="19"/>
    <tableColumn id="5" xr3:uid="{4985404A-CBDA-4A25-9B09-D4B30A1176D0}" name="PENDENTE" dataDxfId="18"/>
  </tableColumns>
  <tableStyleInfo name="TableStyleMedium2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A632514-5A1E-47F1-93EE-748F6E007EC3}" name="Tabela3" displayName="Tabela3" ref="A1:H42" totalsRowShown="0" headerRowDxfId="6" dataDxfId="23" headerRowBorderDxfId="14" tableBorderDxfId="15" totalsRowBorderDxfId="13">
  <autoFilter ref="A1:H42" xr:uid="{8A632514-5A1E-47F1-93EE-748F6E007EC3}"/>
  <sortState xmlns:xlrd2="http://schemas.microsoft.com/office/spreadsheetml/2017/richdata2" ref="A2:H31">
    <sortCondition ref="G1:G31"/>
  </sortState>
  <tableColumns count="8">
    <tableColumn id="1" xr3:uid="{1158CC91-D4E1-472A-8246-286F547BA18F}" name="Requisito" dataDxfId="1"/>
    <tableColumn id="2" xr3:uid="{73814323-C997-4C7C-902A-231928500294}" name="Descrição" dataDxfId="12"/>
    <tableColumn id="3" xr3:uid="{1A93CBFB-18B8-4D92-A114-DEA2D4E8083D}" name="Classificação" dataDxfId="11"/>
    <tableColumn id="4" xr3:uid="{82CA34C6-C04E-4166-A4F3-C7A4FC090375}" name="Tamanho" dataDxfId="10"/>
    <tableColumn id="5" xr3:uid="{8BDE5986-DDED-4A5B-AA4F-2D88CC2E962B}" name="Tamanho em pontos" dataDxfId="9"/>
    <tableColumn id="6" xr3:uid="{848A8452-675B-4C81-A59E-121055E2D6C4}" name="Prioridade" dataDxfId="0"/>
    <tableColumn id="7" xr3:uid="{81785944-D278-4B94-8FC0-5FF4203A4B46}" name="Sprint" dataDxfId="8"/>
    <tableColumn id="8" xr3:uid="{5321FAA5-33E4-4389-A3B3-B1D76EA0BFE8}" name="Resp" dataDxfId="7"/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7CB3183-B0B7-4CD1-B158-0A12B25C6C63}" name="Tabela6" displayName="Tabela6" ref="S23:U24" totalsRowShown="0" headerRowDxfId="2">
  <autoFilter ref="S23:U24" xr:uid="{87CB3183-B0B7-4CD1-B158-0A12B25C6C63}"/>
  <tableColumns count="3">
    <tableColumn id="1" xr3:uid="{2A543DDB-BB63-420C-BFA9-3B8A0EA7790B}" name="Pontos a serem entregues" dataDxfId="5">
      <calculatedColumnFormula>(SUM(E2:E1048576))</calculatedColumnFormula>
    </tableColumn>
    <tableColumn id="2" xr3:uid="{F154DA24-5732-4244-AEDA-F6A390B68BEC}" name="Prazo para término (Dias)" dataDxfId="4"/>
    <tableColumn id="3" xr3:uid="{9262A003-3056-4508-B6FF-2AC5F526CDA3}" name="Média ideal por dia" dataDxfId="3">
      <calculatedColumnFormula>SUM(E$2:E$1000)/COUNTA(J$3:J$1048576)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4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2"/>
  <sheetViews>
    <sheetView showGridLines="0" tabSelected="1" zoomScale="36" workbookViewId="0">
      <selection activeCell="R89" sqref="R89"/>
    </sheetView>
  </sheetViews>
  <sheetFormatPr defaultRowHeight="14.4" x14ac:dyDescent="0.3"/>
  <cols>
    <col min="1" max="1" width="37.44140625" style="2" customWidth="1"/>
    <col min="2" max="2" width="93.44140625" style="5" bestFit="1" customWidth="1"/>
    <col min="3" max="3" width="17.44140625" style="1" bestFit="1" customWidth="1"/>
    <col min="4" max="4" width="15.109375" style="1" bestFit="1" customWidth="1"/>
    <col min="5" max="5" width="25.109375" style="1" bestFit="1" customWidth="1"/>
    <col min="6" max="6" width="16.21875" style="4" bestFit="1" customWidth="1"/>
    <col min="7" max="7" width="12.44140625" style="1" bestFit="1" customWidth="1"/>
    <col min="8" max="8" width="18.21875" style="1" bestFit="1" customWidth="1"/>
    <col min="9" max="9" width="8.88671875" style="1"/>
    <col min="10" max="10" width="8.88671875" style="6"/>
    <col min="11" max="11" width="14.109375" style="7" bestFit="1" customWidth="1"/>
    <col min="12" max="12" width="13.88671875" style="7" customWidth="1"/>
    <col min="13" max="13" width="20.44140625" style="6" customWidth="1"/>
    <col min="14" max="14" width="12.5546875" style="6" customWidth="1"/>
    <col min="15" max="15" width="8.88671875" style="1"/>
    <col min="16" max="18" width="8.88671875" style="1" customWidth="1"/>
    <col min="19" max="19" width="37.109375" style="1" customWidth="1"/>
    <col min="20" max="20" width="42.109375" style="1" customWidth="1"/>
    <col min="21" max="21" width="33.88671875" style="1" customWidth="1"/>
    <col min="22" max="16384" width="8.88671875" style="1"/>
  </cols>
  <sheetData>
    <row r="1" spans="1:14" x14ac:dyDescent="0.3">
      <c r="A1" s="32" t="s">
        <v>0</v>
      </c>
      <c r="B1" s="8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  <c r="J1" s="19" t="s">
        <v>57</v>
      </c>
      <c r="K1" s="20" t="s">
        <v>58</v>
      </c>
      <c r="L1" s="20" t="s">
        <v>59</v>
      </c>
      <c r="M1" s="21" t="s">
        <v>60</v>
      </c>
      <c r="N1" s="22" t="s">
        <v>61</v>
      </c>
    </row>
    <row r="2" spans="1:14" x14ac:dyDescent="0.3">
      <c r="A2" s="35" t="s">
        <v>74</v>
      </c>
      <c r="B2" s="11" t="s">
        <v>8</v>
      </c>
      <c r="C2" s="12" t="s">
        <v>9</v>
      </c>
      <c r="D2" s="12" t="s">
        <v>54</v>
      </c>
      <c r="E2" s="12">
        <v>13</v>
      </c>
      <c r="F2" s="12">
        <v>2</v>
      </c>
      <c r="G2" s="12">
        <v>1</v>
      </c>
      <c r="H2" s="13" t="s">
        <v>65</v>
      </c>
      <c r="J2" s="24">
        <v>0</v>
      </c>
      <c r="K2" s="23">
        <v>0</v>
      </c>
      <c r="L2" s="23">
        <f>(SUM(E2:E1048576))</f>
        <v>496</v>
      </c>
      <c r="M2" s="25">
        <v>0</v>
      </c>
      <c r="N2" s="26">
        <f>SUM(E2:E1048576)</f>
        <v>496</v>
      </c>
    </row>
    <row r="3" spans="1:14" x14ac:dyDescent="0.3">
      <c r="A3" s="35" t="s">
        <v>75</v>
      </c>
      <c r="B3" s="11" t="s">
        <v>10</v>
      </c>
      <c r="C3" s="12" t="s">
        <v>9</v>
      </c>
      <c r="D3" s="12" t="s">
        <v>55</v>
      </c>
      <c r="E3" s="12">
        <v>8</v>
      </c>
      <c r="F3" s="12">
        <v>3</v>
      </c>
      <c r="G3" s="12">
        <v>1</v>
      </c>
      <c r="H3" s="13" t="s">
        <v>11</v>
      </c>
      <c r="J3" s="24">
        <v>1</v>
      </c>
      <c r="K3" s="23">
        <f>SUM(E$2:E$1000)/COUNTA(J$3:J$1048576)</f>
        <v>5.5111111111111111</v>
      </c>
      <c r="L3" s="23">
        <f>L2-K3</f>
        <v>490.48888888888888</v>
      </c>
      <c r="M3" s="25">
        <v>2</v>
      </c>
      <c r="N3" s="26">
        <f>N2-M3</f>
        <v>494</v>
      </c>
    </row>
    <row r="4" spans="1:14" ht="28.8" x14ac:dyDescent="0.3">
      <c r="A4" s="33" t="s">
        <v>12</v>
      </c>
      <c r="B4" s="11" t="s">
        <v>13</v>
      </c>
      <c r="C4" s="12" t="s">
        <v>14</v>
      </c>
      <c r="D4" s="12" t="s">
        <v>54</v>
      </c>
      <c r="E4" s="12">
        <v>13</v>
      </c>
      <c r="F4" s="12">
        <v>1</v>
      </c>
      <c r="G4" s="12">
        <v>1</v>
      </c>
      <c r="H4" s="13" t="s">
        <v>15</v>
      </c>
      <c r="J4" s="24">
        <v>2</v>
      </c>
      <c r="K4" s="23">
        <f>SUM(E$2:E$1000)/COUNTA(J$3:J$1048576)</f>
        <v>5.5111111111111111</v>
      </c>
      <c r="L4" s="23">
        <f t="shared" ref="L4:L67" si="0">L3-K4</f>
        <v>484.97777777777776</v>
      </c>
      <c r="M4" s="25">
        <v>4</v>
      </c>
      <c r="N4" s="26">
        <f t="shared" ref="N4:N67" si="1">N3-M4</f>
        <v>490</v>
      </c>
    </row>
    <row r="5" spans="1:14" ht="28.8" x14ac:dyDescent="0.3">
      <c r="A5" s="33" t="s">
        <v>16</v>
      </c>
      <c r="B5" s="11" t="s">
        <v>17</v>
      </c>
      <c r="C5" s="12" t="s">
        <v>9</v>
      </c>
      <c r="D5" s="12" t="s">
        <v>55</v>
      </c>
      <c r="E5" s="12">
        <v>8</v>
      </c>
      <c r="F5" s="12">
        <v>1</v>
      </c>
      <c r="G5" s="12">
        <v>1</v>
      </c>
      <c r="H5" s="13" t="s">
        <v>66</v>
      </c>
      <c r="J5" s="24">
        <v>3</v>
      </c>
      <c r="K5" s="23">
        <f>SUM(E$2:E$1000)/COUNTA(J$3:J$1048576)</f>
        <v>5.5111111111111111</v>
      </c>
      <c r="L5" s="23">
        <f t="shared" si="0"/>
        <v>479.46666666666664</v>
      </c>
      <c r="M5" s="25">
        <v>2</v>
      </c>
      <c r="N5" s="26">
        <f t="shared" si="1"/>
        <v>488</v>
      </c>
    </row>
    <row r="6" spans="1:14" x14ac:dyDescent="0.3">
      <c r="A6" s="33" t="s">
        <v>18</v>
      </c>
      <c r="B6" s="11" t="s">
        <v>19</v>
      </c>
      <c r="C6" s="12" t="s">
        <v>9</v>
      </c>
      <c r="D6" s="12" t="s">
        <v>55</v>
      </c>
      <c r="E6" s="12">
        <v>8</v>
      </c>
      <c r="F6" s="12">
        <v>2</v>
      </c>
      <c r="G6" s="12">
        <v>1</v>
      </c>
      <c r="H6" s="13" t="s">
        <v>67</v>
      </c>
      <c r="J6" s="24">
        <v>4</v>
      </c>
      <c r="K6" s="23">
        <f>SUM(E$2:E$1000)/COUNTA(J$3:J$1048576)</f>
        <v>5.5111111111111111</v>
      </c>
      <c r="L6" s="23">
        <f t="shared" si="0"/>
        <v>473.95555555555552</v>
      </c>
      <c r="M6" s="25">
        <v>2</v>
      </c>
      <c r="N6" s="26">
        <f t="shared" si="1"/>
        <v>486</v>
      </c>
    </row>
    <row r="7" spans="1:14" x14ac:dyDescent="0.3">
      <c r="A7" s="33" t="s">
        <v>77</v>
      </c>
      <c r="B7" s="11" t="s">
        <v>20</v>
      </c>
      <c r="C7" s="12" t="s">
        <v>9</v>
      </c>
      <c r="D7" s="12" t="s">
        <v>54</v>
      </c>
      <c r="E7" s="12">
        <v>13</v>
      </c>
      <c r="F7" s="12">
        <v>1</v>
      </c>
      <c r="G7" s="12">
        <v>1</v>
      </c>
      <c r="H7" s="14" t="s">
        <v>68</v>
      </c>
      <c r="J7" s="24">
        <v>5</v>
      </c>
      <c r="K7" s="23">
        <f>SUM(E$2:E$1000)/COUNTA(J$3:J$1048576)</f>
        <v>5.5111111111111111</v>
      </c>
      <c r="L7" s="23">
        <f t="shared" si="0"/>
        <v>468.4444444444444</v>
      </c>
      <c r="M7" s="25">
        <v>8</v>
      </c>
      <c r="N7" s="26">
        <f t="shared" si="1"/>
        <v>478</v>
      </c>
    </row>
    <row r="8" spans="1:14" x14ac:dyDescent="0.3">
      <c r="A8" s="33" t="s">
        <v>21</v>
      </c>
      <c r="B8" s="11" t="s">
        <v>22</v>
      </c>
      <c r="C8" s="12" t="s">
        <v>14</v>
      </c>
      <c r="D8" s="12" t="s">
        <v>55</v>
      </c>
      <c r="E8" s="12">
        <v>8</v>
      </c>
      <c r="F8" s="12">
        <v>2</v>
      </c>
      <c r="G8" s="12">
        <v>1</v>
      </c>
      <c r="H8" s="13" t="s">
        <v>28</v>
      </c>
      <c r="J8" s="24">
        <v>6</v>
      </c>
      <c r="K8" s="23">
        <f>SUM(E$2:E$1000)/COUNTA(J$3:J$1048576)</f>
        <v>5.5111111111111111</v>
      </c>
      <c r="L8" s="23">
        <f t="shared" si="0"/>
        <v>462.93333333333328</v>
      </c>
      <c r="M8" s="25">
        <v>13</v>
      </c>
      <c r="N8" s="26">
        <f t="shared" si="1"/>
        <v>465</v>
      </c>
    </row>
    <row r="9" spans="1:14" x14ac:dyDescent="0.3">
      <c r="A9" s="35" t="s">
        <v>76</v>
      </c>
      <c r="B9" s="11" t="s">
        <v>23</v>
      </c>
      <c r="C9" s="12" t="s">
        <v>14</v>
      </c>
      <c r="D9" s="12" t="s">
        <v>54</v>
      </c>
      <c r="E9" s="12">
        <v>13</v>
      </c>
      <c r="F9" s="12">
        <v>1</v>
      </c>
      <c r="G9" s="12">
        <v>1</v>
      </c>
      <c r="H9" s="13" t="s">
        <v>72</v>
      </c>
      <c r="J9" s="24">
        <v>7</v>
      </c>
      <c r="K9" s="23">
        <f>SUM(E$2:E$1000)/COUNTA(J$3:J$1048576)</f>
        <v>5.5111111111111111</v>
      </c>
      <c r="L9" s="23">
        <f t="shared" si="0"/>
        <v>457.42222222222216</v>
      </c>
      <c r="M9" s="25">
        <v>0</v>
      </c>
      <c r="N9" s="26">
        <f t="shared" si="1"/>
        <v>465</v>
      </c>
    </row>
    <row r="10" spans="1:14" x14ac:dyDescent="0.3">
      <c r="A10" s="35" t="s">
        <v>78</v>
      </c>
      <c r="B10" s="11" t="s">
        <v>24</v>
      </c>
      <c r="C10" s="12" t="s">
        <v>9</v>
      </c>
      <c r="D10" s="12" t="s">
        <v>55</v>
      </c>
      <c r="E10" s="12">
        <v>8</v>
      </c>
      <c r="F10" s="12">
        <v>3</v>
      </c>
      <c r="G10" s="12">
        <v>1</v>
      </c>
      <c r="H10" s="13" t="s">
        <v>11</v>
      </c>
      <c r="J10" s="24">
        <v>8</v>
      </c>
      <c r="K10" s="23">
        <f>SUM(E$2:E$1000)/COUNTA(J$3:J$1048576)</f>
        <v>5.5111111111111111</v>
      </c>
      <c r="L10" s="23">
        <f t="shared" si="0"/>
        <v>451.91111111111104</v>
      </c>
      <c r="M10" s="25">
        <v>0</v>
      </c>
      <c r="N10" s="26">
        <f t="shared" si="1"/>
        <v>465</v>
      </c>
    </row>
    <row r="11" spans="1:14" x14ac:dyDescent="0.3">
      <c r="A11" s="33" t="s">
        <v>25</v>
      </c>
      <c r="B11" s="11" t="s">
        <v>26</v>
      </c>
      <c r="C11" s="12" t="s">
        <v>14</v>
      </c>
      <c r="D11" s="12" t="s">
        <v>54</v>
      </c>
      <c r="E11" s="12">
        <v>13</v>
      </c>
      <c r="F11" s="12">
        <v>2</v>
      </c>
      <c r="G11" s="12">
        <v>1</v>
      </c>
      <c r="H11" s="13" t="s">
        <v>67</v>
      </c>
      <c r="J11" s="24">
        <v>9</v>
      </c>
      <c r="K11" s="23">
        <f>SUM(E$2:E$1000)/COUNTA(J$3:J$1048576)</f>
        <v>5.5111111111111111</v>
      </c>
      <c r="L11" s="23">
        <f t="shared" si="0"/>
        <v>446.39999999999992</v>
      </c>
      <c r="M11" s="25">
        <v>2</v>
      </c>
      <c r="N11" s="26">
        <f t="shared" si="1"/>
        <v>463</v>
      </c>
    </row>
    <row r="12" spans="1:14" x14ac:dyDescent="0.3">
      <c r="A12" s="35" t="s">
        <v>79</v>
      </c>
      <c r="B12" s="11" t="s">
        <v>27</v>
      </c>
      <c r="C12" s="12" t="s">
        <v>14</v>
      </c>
      <c r="D12" s="12" t="s">
        <v>54</v>
      </c>
      <c r="E12" s="12">
        <v>13</v>
      </c>
      <c r="F12" s="12">
        <v>4</v>
      </c>
      <c r="G12" s="12">
        <v>2</v>
      </c>
      <c r="H12" s="13" t="s">
        <v>28</v>
      </c>
      <c r="J12" s="24">
        <v>10</v>
      </c>
      <c r="K12" s="23">
        <f>SUM(E$2:E$1000)/COUNTA(J$3:J$1048576)</f>
        <v>5.5111111111111111</v>
      </c>
      <c r="L12" s="23">
        <f t="shared" si="0"/>
        <v>440.8888888888888</v>
      </c>
      <c r="M12" s="25">
        <v>0</v>
      </c>
      <c r="N12" s="26">
        <f t="shared" si="1"/>
        <v>463</v>
      </c>
    </row>
    <row r="13" spans="1:14" ht="28.8" x14ac:dyDescent="0.3">
      <c r="A13" s="35" t="s">
        <v>80</v>
      </c>
      <c r="B13" s="11" t="s">
        <v>29</v>
      </c>
      <c r="C13" s="12" t="s">
        <v>14</v>
      </c>
      <c r="D13" s="12" t="s">
        <v>55</v>
      </c>
      <c r="E13" s="12">
        <v>8</v>
      </c>
      <c r="F13" s="12">
        <v>2</v>
      </c>
      <c r="G13" s="12">
        <v>2</v>
      </c>
      <c r="H13" s="13" t="s">
        <v>28</v>
      </c>
      <c r="J13" s="24">
        <v>11</v>
      </c>
      <c r="K13" s="23">
        <f>SUM(E$2:E$1000)/COUNTA(J$3:J$1048576)</f>
        <v>5.5111111111111111</v>
      </c>
      <c r="L13" s="23">
        <f t="shared" si="0"/>
        <v>435.37777777777768</v>
      </c>
      <c r="M13" s="25">
        <v>2</v>
      </c>
      <c r="N13" s="26">
        <f t="shared" si="1"/>
        <v>461</v>
      </c>
    </row>
    <row r="14" spans="1:14" ht="28.8" x14ac:dyDescent="0.3">
      <c r="A14" s="35" t="s">
        <v>81</v>
      </c>
      <c r="B14" s="11" t="s">
        <v>30</v>
      </c>
      <c r="C14" s="12" t="s">
        <v>9</v>
      </c>
      <c r="D14" s="12" t="s">
        <v>54</v>
      </c>
      <c r="E14" s="12">
        <v>13</v>
      </c>
      <c r="F14" s="12">
        <v>2</v>
      </c>
      <c r="G14" s="12">
        <v>2</v>
      </c>
      <c r="H14" s="13" t="s">
        <v>28</v>
      </c>
      <c r="J14" s="24">
        <v>12</v>
      </c>
      <c r="K14" s="23">
        <f>SUM(E$2:E$1000)/COUNTA(J$3:J$1048576)</f>
        <v>5.5111111111111111</v>
      </c>
      <c r="L14" s="23">
        <f t="shared" si="0"/>
        <v>429.86666666666656</v>
      </c>
      <c r="M14" s="25">
        <v>5</v>
      </c>
      <c r="N14" s="26">
        <f t="shared" si="1"/>
        <v>456</v>
      </c>
    </row>
    <row r="15" spans="1:14" ht="28.8" x14ac:dyDescent="0.3">
      <c r="A15" s="35" t="s">
        <v>82</v>
      </c>
      <c r="B15" s="11" t="s">
        <v>31</v>
      </c>
      <c r="C15" s="12" t="s">
        <v>14</v>
      </c>
      <c r="D15" s="12" t="s">
        <v>54</v>
      </c>
      <c r="E15" s="12">
        <v>13</v>
      </c>
      <c r="F15" s="12">
        <v>1</v>
      </c>
      <c r="G15" s="12">
        <v>2</v>
      </c>
      <c r="H15" s="13" t="s">
        <v>65</v>
      </c>
      <c r="J15" s="24">
        <v>13</v>
      </c>
      <c r="K15" s="23">
        <f>SUM(E$2:E$1000)/COUNTA(J$3:J$1048576)</f>
        <v>5.5111111111111111</v>
      </c>
      <c r="L15" s="23">
        <f t="shared" si="0"/>
        <v>424.35555555555544</v>
      </c>
      <c r="M15" s="25">
        <v>8</v>
      </c>
      <c r="N15" s="26">
        <f t="shared" si="1"/>
        <v>448</v>
      </c>
    </row>
    <row r="16" spans="1:14" ht="28.8" x14ac:dyDescent="0.3">
      <c r="A16" s="35" t="s">
        <v>83</v>
      </c>
      <c r="B16" s="11" t="s">
        <v>32</v>
      </c>
      <c r="C16" s="12" t="s">
        <v>33</v>
      </c>
      <c r="D16" s="12" t="s">
        <v>55</v>
      </c>
      <c r="E16" s="12">
        <v>8</v>
      </c>
      <c r="F16" s="12">
        <v>6</v>
      </c>
      <c r="G16" s="12">
        <v>2</v>
      </c>
      <c r="H16" s="13" t="s">
        <v>28</v>
      </c>
      <c r="J16" s="24">
        <v>14</v>
      </c>
      <c r="K16" s="23">
        <f>SUM(E$2:E$1000)/COUNTA(J$3:J$1048576)</f>
        <v>5.5111111111111111</v>
      </c>
      <c r="L16" s="23">
        <f t="shared" si="0"/>
        <v>418.84444444444432</v>
      </c>
      <c r="M16" s="25">
        <v>13</v>
      </c>
      <c r="N16" s="26">
        <f t="shared" si="1"/>
        <v>435</v>
      </c>
    </row>
    <row r="17" spans="1:21" ht="28.8" x14ac:dyDescent="0.3">
      <c r="A17" s="35" t="s">
        <v>84</v>
      </c>
      <c r="B17" s="11" t="s">
        <v>34</v>
      </c>
      <c r="C17" s="12" t="s">
        <v>9</v>
      </c>
      <c r="D17" s="12" t="s">
        <v>55</v>
      </c>
      <c r="E17" s="12">
        <v>8</v>
      </c>
      <c r="F17" s="12">
        <v>5</v>
      </c>
      <c r="G17" s="12">
        <v>2</v>
      </c>
      <c r="H17" s="13" t="s">
        <v>69</v>
      </c>
      <c r="J17" s="24">
        <v>15</v>
      </c>
      <c r="K17" s="23">
        <f>SUM(E$2:E$1000)/COUNTA(J$3:J$1048576)</f>
        <v>5.5111111111111111</v>
      </c>
      <c r="L17" s="23">
        <f t="shared" si="0"/>
        <v>413.3333333333332</v>
      </c>
      <c r="M17" s="25">
        <v>2</v>
      </c>
      <c r="N17" s="26">
        <f t="shared" si="1"/>
        <v>433</v>
      </c>
    </row>
    <row r="18" spans="1:21" ht="28.8" x14ac:dyDescent="0.3">
      <c r="A18" s="35" t="s">
        <v>85</v>
      </c>
      <c r="B18" s="11" t="s">
        <v>35</v>
      </c>
      <c r="C18" s="12" t="s">
        <v>14</v>
      </c>
      <c r="D18" s="12" t="s">
        <v>54</v>
      </c>
      <c r="E18" s="12">
        <v>13</v>
      </c>
      <c r="F18" s="12">
        <v>1</v>
      </c>
      <c r="G18" s="12">
        <v>2</v>
      </c>
      <c r="H18" s="13" t="s">
        <v>11</v>
      </c>
      <c r="J18" s="24">
        <v>16</v>
      </c>
      <c r="K18" s="23">
        <f>SUM(E$2:E$1000)/COUNTA(J$3:J$1048576)</f>
        <v>5.5111111111111111</v>
      </c>
      <c r="L18" s="23">
        <f t="shared" si="0"/>
        <v>407.82222222222208</v>
      </c>
      <c r="M18" s="25">
        <v>2</v>
      </c>
      <c r="N18" s="26">
        <f t="shared" si="1"/>
        <v>431</v>
      </c>
    </row>
    <row r="19" spans="1:21" ht="28.8" x14ac:dyDescent="0.3">
      <c r="A19" s="35" t="s">
        <v>86</v>
      </c>
      <c r="B19" s="11" t="s">
        <v>36</v>
      </c>
      <c r="C19" s="12" t="s">
        <v>9</v>
      </c>
      <c r="D19" s="12" t="s">
        <v>56</v>
      </c>
      <c r="E19" s="12">
        <v>3</v>
      </c>
      <c r="F19" s="12">
        <v>2</v>
      </c>
      <c r="G19" s="12">
        <v>2</v>
      </c>
      <c r="H19" s="13" t="s">
        <v>69</v>
      </c>
      <c r="J19" s="24">
        <v>17</v>
      </c>
      <c r="K19" s="23">
        <f>SUM(E$2:E$1000)/COUNTA(J$3:J$1048576)</f>
        <v>5.5111111111111111</v>
      </c>
      <c r="L19" s="23">
        <f t="shared" si="0"/>
        <v>402.31111111111096</v>
      </c>
      <c r="M19" s="25">
        <v>18</v>
      </c>
      <c r="N19" s="26">
        <f t="shared" si="1"/>
        <v>413</v>
      </c>
    </row>
    <row r="20" spans="1:21" ht="29.4" customHeight="1" x14ac:dyDescent="0.3">
      <c r="A20" s="35" t="s">
        <v>87</v>
      </c>
      <c r="B20" s="11" t="s">
        <v>37</v>
      </c>
      <c r="C20" s="12" t="s">
        <v>9</v>
      </c>
      <c r="D20" s="12" t="s">
        <v>56</v>
      </c>
      <c r="E20" s="12">
        <v>3</v>
      </c>
      <c r="F20" s="12">
        <v>4</v>
      </c>
      <c r="G20" s="12">
        <v>2</v>
      </c>
      <c r="H20" s="13" t="s">
        <v>70</v>
      </c>
      <c r="J20" s="24">
        <v>18</v>
      </c>
      <c r="K20" s="23">
        <f>SUM(E$2:E$1000)/COUNTA(J$3:J$1048576)</f>
        <v>5.5111111111111111</v>
      </c>
      <c r="L20" s="23">
        <f t="shared" si="0"/>
        <v>396.79999999999984</v>
      </c>
      <c r="M20" s="25">
        <v>5</v>
      </c>
      <c r="N20" s="26">
        <f>N19-M20</f>
        <v>408</v>
      </c>
    </row>
    <row r="21" spans="1:21" ht="46.2" customHeight="1" x14ac:dyDescent="0.3">
      <c r="A21" s="35" t="s">
        <v>88</v>
      </c>
      <c r="B21" s="11" t="s">
        <v>38</v>
      </c>
      <c r="C21" s="12" t="s">
        <v>9</v>
      </c>
      <c r="D21" s="12" t="s">
        <v>55</v>
      </c>
      <c r="E21" s="12">
        <v>8</v>
      </c>
      <c r="F21" s="12">
        <v>2</v>
      </c>
      <c r="G21" s="12">
        <v>2</v>
      </c>
      <c r="H21" s="13" t="s">
        <v>15</v>
      </c>
      <c r="J21" s="24">
        <v>19</v>
      </c>
      <c r="K21" s="23">
        <f>SUM(E$2:E$1000)/COUNTA(J$3:J$1048576)</f>
        <v>5.5111111111111111</v>
      </c>
      <c r="L21" s="23">
        <f t="shared" si="0"/>
        <v>391.28888888888872</v>
      </c>
      <c r="M21" s="25">
        <v>5</v>
      </c>
      <c r="N21" s="26">
        <f>N20-M21</f>
        <v>403</v>
      </c>
    </row>
    <row r="22" spans="1:21" ht="28.8" x14ac:dyDescent="0.3">
      <c r="A22" s="35" t="s">
        <v>89</v>
      </c>
      <c r="B22" s="11" t="s">
        <v>39</v>
      </c>
      <c r="C22" s="12" t="s">
        <v>14</v>
      </c>
      <c r="D22" s="12" t="s">
        <v>55</v>
      </c>
      <c r="E22" s="12">
        <v>8</v>
      </c>
      <c r="F22" s="12">
        <v>1</v>
      </c>
      <c r="G22" s="12">
        <v>2</v>
      </c>
      <c r="H22" s="13" t="s">
        <v>11</v>
      </c>
      <c r="J22" s="24">
        <v>20</v>
      </c>
      <c r="K22" s="23">
        <f>SUM(E$2:E$1000)/COUNTA(J$3:J$1048576)</f>
        <v>5.5111111111111111</v>
      </c>
      <c r="L22" s="23">
        <f t="shared" si="0"/>
        <v>385.7777777777776</v>
      </c>
      <c r="M22" s="25">
        <v>4</v>
      </c>
      <c r="N22" s="26">
        <f t="shared" si="1"/>
        <v>399</v>
      </c>
    </row>
    <row r="23" spans="1:21" x14ac:dyDescent="0.3">
      <c r="A23" s="33" t="s">
        <v>40</v>
      </c>
      <c r="B23" s="11" t="s">
        <v>41</v>
      </c>
      <c r="C23" s="12" t="s">
        <v>9</v>
      </c>
      <c r="D23" s="12" t="s">
        <v>56</v>
      </c>
      <c r="E23" s="12">
        <v>3</v>
      </c>
      <c r="F23" s="12">
        <v>4</v>
      </c>
      <c r="G23" s="12">
        <v>2</v>
      </c>
      <c r="H23" s="13" t="s">
        <v>71</v>
      </c>
      <c r="J23" s="24">
        <v>21</v>
      </c>
      <c r="K23" s="23">
        <f>SUM(E$2:E$1000)/COUNTA(J$3:J$1048576)</f>
        <v>5.5111111111111111</v>
      </c>
      <c r="L23" s="23">
        <f t="shared" si="0"/>
        <v>380.26666666666648</v>
      </c>
      <c r="M23" s="25">
        <v>13</v>
      </c>
      <c r="N23" s="26">
        <f t="shared" si="1"/>
        <v>386</v>
      </c>
      <c r="S23" s="1" t="s">
        <v>62</v>
      </c>
      <c r="T23" s="1" t="s">
        <v>63</v>
      </c>
      <c r="U23" s="1" t="s">
        <v>64</v>
      </c>
    </row>
    <row r="24" spans="1:21" x14ac:dyDescent="0.3">
      <c r="A24" s="33" t="s">
        <v>42</v>
      </c>
      <c r="B24" s="11" t="s">
        <v>43</v>
      </c>
      <c r="C24" s="12" t="s">
        <v>9</v>
      </c>
      <c r="D24" s="12" t="s">
        <v>55</v>
      </c>
      <c r="E24" s="12">
        <v>8</v>
      </c>
      <c r="F24" s="12">
        <v>3</v>
      </c>
      <c r="G24" s="12">
        <v>2</v>
      </c>
      <c r="H24" s="13" t="s">
        <v>67</v>
      </c>
      <c r="J24" s="24">
        <v>22</v>
      </c>
      <c r="K24" s="23">
        <f>SUM(E$2:E$1000)/COUNTA(J$3:J$1048576)</f>
        <v>5.5111111111111111</v>
      </c>
      <c r="L24" s="23">
        <f t="shared" si="0"/>
        <v>374.75555555555536</v>
      </c>
      <c r="M24" s="25">
        <v>0</v>
      </c>
      <c r="N24" s="26">
        <f t="shared" si="1"/>
        <v>386</v>
      </c>
      <c r="S24" s="1">
        <f>(SUM(E2:E1048576))</f>
        <v>496</v>
      </c>
      <c r="T24" s="1">
        <v>56</v>
      </c>
      <c r="U24" s="3">
        <f>SUM(E$2:E$1000)/COUNTA(J$3:J$1048576)</f>
        <v>5.5111111111111111</v>
      </c>
    </row>
    <row r="25" spans="1:21" x14ac:dyDescent="0.3">
      <c r="A25" s="33" t="s">
        <v>44</v>
      </c>
      <c r="B25" s="11" t="s">
        <v>45</v>
      </c>
      <c r="C25" s="12" t="s">
        <v>9</v>
      </c>
      <c r="D25" s="12" t="s">
        <v>55</v>
      </c>
      <c r="E25" s="12">
        <v>8</v>
      </c>
      <c r="F25" s="12">
        <v>4</v>
      </c>
      <c r="G25" s="12">
        <v>2</v>
      </c>
      <c r="H25" s="13" t="s">
        <v>72</v>
      </c>
      <c r="J25" s="24">
        <v>23</v>
      </c>
      <c r="K25" s="23">
        <f>SUM(E$2:E$1000)/COUNTA(J$3:J$1048576)</f>
        <v>5.5111111111111111</v>
      </c>
      <c r="L25" s="23">
        <f t="shared" si="0"/>
        <v>369.24444444444424</v>
      </c>
      <c r="M25" s="25">
        <v>0</v>
      </c>
      <c r="N25" s="26">
        <f t="shared" si="1"/>
        <v>386</v>
      </c>
      <c r="T25" s="3"/>
    </row>
    <row r="26" spans="1:21" x14ac:dyDescent="0.3">
      <c r="A26" s="33" t="s">
        <v>46</v>
      </c>
      <c r="B26" s="11" t="s">
        <v>47</v>
      </c>
      <c r="C26" s="15" t="s">
        <v>9</v>
      </c>
      <c r="D26" s="15" t="s">
        <v>56</v>
      </c>
      <c r="E26" s="15">
        <v>3</v>
      </c>
      <c r="F26" s="15">
        <v>3</v>
      </c>
      <c r="G26" s="15">
        <v>2</v>
      </c>
      <c r="H26" s="13" t="s">
        <v>67</v>
      </c>
      <c r="J26" s="24">
        <v>24</v>
      </c>
      <c r="K26" s="23">
        <f>SUM(E$2:E$1000)/COUNTA(J$3:J$1048576)</f>
        <v>5.5111111111111111</v>
      </c>
      <c r="L26" s="23">
        <f t="shared" si="0"/>
        <v>363.73333333333312</v>
      </c>
      <c r="M26" s="25">
        <v>2</v>
      </c>
      <c r="N26" s="26">
        <f t="shared" si="1"/>
        <v>384</v>
      </c>
    </row>
    <row r="27" spans="1:21" x14ac:dyDescent="0.3">
      <c r="A27" s="33" t="s">
        <v>48</v>
      </c>
      <c r="B27" s="11" t="s">
        <v>49</v>
      </c>
      <c r="C27" s="15" t="s">
        <v>9</v>
      </c>
      <c r="D27" s="15" t="s">
        <v>55</v>
      </c>
      <c r="E27" s="15">
        <v>8</v>
      </c>
      <c r="F27" s="15">
        <v>4</v>
      </c>
      <c r="G27" s="15">
        <v>2</v>
      </c>
      <c r="H27" s="13" t="s">
        <v>11</v>
      </c>
      <c r="J27" s="24">
        <v>25</v>
      </c>
      <c r="K27" s="23">
        <f>SUM(E$2:E$1000)/COUNTA(J$3:J$1048576)</f>
        <v>5.5111111111111111</v>
      </c>
      <c r="L27" s="23">
        <f t="shared" si="0"/>
        <v>358.222222222222</v>
      </c>
      <c r="M27" s="25">
        <v>2</v>
      </c>
      <c r="N27" s="26">
        <f t="shared" si="1"/>
        <v>382</v>
      </c>
    </row>
    <row r="28" spans="1:21" ht="28.8" x14ac:dyDescent="0.3">
      <c r="A28" s="35" t="s">
        <v>90</v>
      </c>
      <c r="B28" s="11" t="s">
        <v>50</v>
      </c>
      <c r="C28" s="12" t="s">
        <v>14</v>
      </c>
      <c r="D28" s="12" t="s">
        <v>54</v>
      </c>
      <c r="E28" s="12">
        <v>13</v>
      </c>
      <c r="F28" s="12">
        <v>2</v>
      </c>
      <c r="G28" s="12">
        <v>2</v>
      </c>
      <c r="H28" s="13" t="s">
        <v>73</v>
      </c>
      <c r="J28" s="24">
        <v>26</v>
      </c>
      <c r="K28" s="23">
        <f>SUM(E$2:E$1000)/COUNTA(J$3:J$1048576)</f>
        <v>5.5111111111111111</v>
      </c>
      <c r="L28" s="23">
        <f t="shared" si="0"/>
        <v>352.71111111111088</v>
      </c>
      <c r="M28" s="25">
        <v>18</v>
      </c>
      <c r="N28" s="26">
        <f t="shared" si="1"/>
        <v>364</v>
      </c>
    </row>
    <row r="29" spans="1:21" x14ac:dyDescent="0.3">
      <c r="A29" s="35" t="s">
        <v>91</v>
      </c>
      <c r="B29" s="11" t="s">
        <v>51</v>
      </c>
      <c r="C29" s="12" t="s">
        <v>14</v>
      </c>
      <c r="D29" s="12" t="s">
        <v>54</v>
      </c>
      <c r="E29" s="12">
        <v>13</v>
      </c>
      <c r="F29" s="12">
        <v>2</v>
      </c>
      <c r="G29" s="12">
        <v>2</v>
      </c>
      <c r="H29" s="13" t="s">
        <v>67</v>
      </c>
      <c r="J29" s="24">
        <v>27</v>
      </c>
      <c r="K29" s="23">
        <f>SUM(E$2:E$1000)/COUNTA(J$3:J$1048576)</f>
        <v>5.5111111111111111</v>
      </c>
      <c r="L29" s="23">
        <f t="shared" si="0"/>
        <v>347.19999999999976</v>
      </c>
      <c r="M29" s="25">
        <v>13</v>
      </c>
      <c r="N29" s="26">
        <f t="shared" si="1"/>
        <v>351</v>
      </c>
    </row>
    <row r="30" spans="1:21" ht="28.8" x14ac:dyDescent="0.3">
      <c r="A30" s="34" t="s">
        <v>52</v>
      </c>
      <c r="B30" s="16" t="s">
        <v>53</v>
      </c>
      <c r="C30" s="17" t="s">
        <v>33</v>
      </c>
      <c r="D30" s="17" t="s">
        <v>56</v>
      </c>
      <c r="E30" s="17">
        <v>3</v>
      </c>
      <c r="F30" s="17">
        <v>5</v>
      </c>
      <c r="G30" s="17">
        <v>2</v>
      </c>
      <c r="H30" s="31" t="s">
        <v>28</v>
      </c>
      <c r="J30" s="24">
        <v>28</v>
      </c>
      <c r="K30" s="23">
        <f>SUM(E$2:E$1000)/COUNTA(J$3:J$1048576)</f>
        <v>5.5111111111111111</v>
      </c>
      <c r="L30" s="23">
        <f t="shared" si="0"/>
        <v>341.68888888888864</v>
      </c>
      <c r="M30" s="25">
        <v>2</v>
      </c>
      <c r="N30" s="26">
        <f>N29-M30</f>
        <v>349</v>
      </c>
    </row>
    <row r="31" spans="1:21" x14ac:dyDescent="0.3">
      <c r="A31" s="34" t="s">
        <v>104</v>
      </c>
      <c r="B31" s="16" t="s">
        <v>105</v>
      </c>
      <c r="C31" s="17" t="s">
        <v>9</v>
      </c>
      <c r="D31" s="17" t="s">
        <v>56</v>
      </c>
      <c r="E31" s="17">
        <v>3</v>
      </c>
      <c r="F31" s="17">
        <v>4</v>
      </c>
      <c r="G31" s="17">
        <v>2</v>
      </c>
      <c r="H31" s="18" t="s">
        <v>11</v>
      </c>
      <c r="J31" s="24">
        <v>29</v>
      </c>
      <c r="K31" s="23">
        <f>SUM(E$2:E$1000)/COUNTA(J$3:J$1048576)</f>
        <v>5.5111111111111111</v>
      </c>
      <c r="L31" s="23">
        <f t="shared" si="0"/>
        <v>336.17777777777752</v>
      </c>
      <c r="M31" s="25">
        <v>8</v>
      </c>
      <c r="N31" s="26">
        <f t="shared" si="1"/>
        <v>341</v>
      </c>
    </row>
    <row r="32" spans="1:21" x14ac:dyDescent="0.3">
      <c r="A32" s="34" t="s">
        <v>93</v>
      </c>
      <c r="B32" s="16" t="s">
        <v>117</v>
      </c>
      <c r="C32" s="17" t="s">
        <v>9</v>
      </c>
      <c r="D32" s="17" t="s">
        <v>103</v>
      </c>
      <c r="E32" s="17">
        <v>21</v>
      </c>
      <c r="F32" s="17">
        <v>4</v>
      </c>
      <c r="G32" s="17">
        <v>3</v>
      </c>
      <c r="H32" s="18"/>
      <c r="J32" s="24">
        <v>30</v>
      </c>
      <c r="K32" s="23">
        <f>SUM(E$2:E$1000)/COUNTA(J$3:J$1048576)</f>
        <v>5.5111111111111111</v>
      </c>
      <c r="L32" s="23">
        <f t="shared" si="0"/>
        <v>330.6666666666664</v>
      </c>
      <c r="M32" s="25">
        <v>13</v>
      </c>
      <c r="N32" s="26">
        <f t="shared" si="1"/>
        <v>328</v>
      </c>
    </row>
    <row r="33" spans="1:14" x14ac:dyDescent="0.3">
      <c r="A33" s="34" t="s">
        <v>92</v>
      </c>
      <c r="B33" s="16" t="s">
        <v>114</v>
      </c>
      <c r="C33" s="17" t="s">
        <v>9</v>
      </c>
      <c r="D33" s="17" t="s">
        <v>103</v>
      </c>
      <c r="E33" s="17">
        <v>21</v>
      </c>
      <c r="F33" s="17">
        <v>3</v>
      </c>
      <c r="G33" s="17">
        <v>3</v>
      </c>
      <c r="H33" s="18"/>
      <c r="J33" s="24">
        <v>31</v>
      </c>
      <c r="K33" s="23">
        <f>SUM(E$2:E$1000)/COUNTA(J$3:J$1048576)</f>
        <v>5.5111111111111111</v>
      </c>
      <c r="L33" s="23">
        <f t="shared" si="0"/>
        <v>325.15555555555528</v>
      </c>
      <c r="M33" s="25">
        <v>15</v>
      </c>
      <c r="N33" s="26">
        <f t="shared" si="1"/>
        <v>313</v>
      </c>
    </row>
    <row r="34" spans="1:14" x14ac:dyDescent="0.3">
      <c r="A34" s="34" t="s">
        <v>94</v>
      </c>
      <c r="B34" s="16" t="s">
        <v>115</v>
      </c>
      <c r="C34" s="17" t="s">
        <v>116</v>
      </c>
      <c r="D34" s="17" t="s">
        <v>103</v>
      </c>
      <c r="E34" s="17">
        <v>21</v>
      </c>
      <c r="F34" s="17">
        <v>1</v>
      </c>
      <c r="G34" s="17">
        <v>3</v>
      </c>
      <c r="H34" s="18"/>
      <c r="J34" s="24">
        <v>32</v>
      </c>
      <c r="K34" s="23">
        <f>SUM(E$2:E$1000)/COUNTA(J$3:J$1048576)</f>
        <v>5.5111111111111111</v>
      </c>
      <c r="L34" s="23">
        <f t="shared" si="0"/>
        <v>319.64444444444416</v>
      </c>
      <c r="M34" s="25">
        <v>2</v>
      </c>
      <c r="N34" s="26">
        <f t="shared" si="1"/>
        <v>311</v>
      </c>
    </row>
    <row r="35" spans="1:14" x14ac:dyDescent="0.3">
      <c r="A35" s="34" t="s">
        <v>95</v>
      </c>
      <c r="B35" s="16" t="s">
        <v>108</v>
      </c>
      <c r="C35" s="17" t="s">
        <v>14</v>
      </c>
      <c r="D35" s="17" t="s">
        <v>103</v>
      </c>
      <c r="E35" s="17">
        <v>21</v>
      </c>
      <c r="F35" s="17">
        <v>1</v>
      </c>
      <c r="G35" s="17">
        <v>3</v>
      </c>
      <c r="H35" s="18"/>
      <c r="J35" s="24">
        <v>33</v>
      </c>
      <c r="K35" s="23">
        <f>SUM(E$2:E$1000)/COUNTA(J$3:J$1048576)</f>
        <v>5.5111111111111111</v>
      </c>
      <c r="L35" s="23">
        <f t="shared" si="0"/>
        <v>314.13333333333304</v>
      </c>
      <c r="M35" s="25">
        <v>3</v>
      </c>
      <c r="N35" s="26">
        <f>N34-M35</f>
        <v>308</v>
      </c>
    </row>
    <row r="36" spans="1:14" x14ac:dyDescent="0.3">
      <c r="A36" s="34" t="s">
        <v>96</v>
      </c>
      <c r="B36" s="16" t="s">
        <v>109</v>
      </c>
      <c r="C36" s="17" t="s">
        <v>14</v>
      </c>
      <c r="D36" s="17" t="s">
        <v>103</v>
      </c>
      <c r="E36" s="17">
        <v>21</v>
      </c>
      <c r="F36" s="17">
        <v>1</v>
      </c>
      <c r="G36" s="17">
        <v>3</v>
      </c>
      <c r="H36" s="18"/>
      <c r="J36" s="24">
        <v>34</v>
      </c>
      <c r="K36" s="23">
        <f>SUM(E$2:E$1000)/COUNTA(J$3:J$1048576)</f>
        <v>5.5111111111111111</v>
      </c>
      <c r="L36" s="23">
        <f t="shared" si="0"/>
        <v>308.62222222222192</v>
      </c>
      <c r="M36" s="6">
        <v>0</v>
      </c>
      <c r="N36" s="26">
        <f>N35-M36</f>
        <v>308</v>
      </c>
    </row>
    <row r="37" spans="1:14" ht="28.8" x14ac:dyDescent="0.3">
      <c r="A37" s="34" t="s">
        <v>97</v>
      </c>
      <c r="B37" s="16" t="s">
        <v>110</v>
      </c>
      <c r="C37" s="17" t="s">
        <v>14</v>
      </c>
      <c r="D37" s="17" t="s">
        <v>103</v>
      </c>
      <c r="E37" s="17">
        <v>21</v>
      </c>
      <c r="F37" s="17">
        <v>1</v>
      </c>
      <c r="G37" s="17">
        <v>3</v>
      </c>
      <c r="H37" s="18"/>
      <c r="J37" s="24">
        <v>35</v>
      </c>
      <c r="K37" s="23">
        <f>SUM(E$2:E$1000)/COUNTA(J$3:J$1048576)</f>
        <v>5.5111111111111111</v>
      </c>
      <c r="L37" s="23">
        <f t="shared" si="0"/>
        <v>303.1111111111108</v>
      </c>
      <c r="M37" s="25">
        <v>0</v>
      </c>
      <c r="N37" s="6">
        <f>N36-M37</f>
        <v>308</v>
      </c>
    </row>
    <row r="38" spans="1:14" x14ac:dyDescent="0.3">
      <c r="A38" s="34" t="s">
        <v>98</v>
      </c>
      <c r="B38" s="16" t="s">
        <v>107</v>
      </c>
      <c r="C38" s="17" t="s">
        <v>9</v>
      </c>
      <c r="D38" s="17" t="s">
        <v>103</v>
      </c>
      <c r="E38" s="17">
        <v>21</v>
      </c>
      <c r="F38" s="17">
        <v>2</v>
      </c>
      <c r="G38" s="17">
        <v>3</v>
      </c>
      <c r="H38" s="18"/>
      <c r="J38" s="24">
        <v>36</v>
      </c>
      <c r="K38" s="23">
        <f>SUM(E$2:E$1000)/COUNTA(J$3:J$1048576)</f>
        <v>5.5111111111111111</v>
      </c>
      <c r="L38" s="23">
        <f t="shared" si="0"/>
        <v>297.59999999999968</v>
      </c>
      <c r="M38" s="25">
        <v>0</v>
      </c>
      <c r="N38" s="26">
        <f>N37-M38</f>
        <v>308</v>
      </c>
    </row>
    <row r="39" spans="1:14" x14ac:dyDescent="0.3">
      <c r="A39" s="34" t="s">
        <v>99</v>
      </c>
      <c r="B39" s="16" t="s">
        <v>111</v>
      </c>
      <c r="C39" s="17" t="s">
        <v>14</v>
      </c>
      <c r="D39" s="17" t="s">
        <v>103</v>
      </c>
      <c r="E39" s="17">
        <v>21</v>
      </c>
      <c r="F39" s="17">
        <v>2</v>
      </c>
      <c r="G39" s="17">
        <v>3</v>
      </c>
      <c r="H39" s="18"/>
      <c r="J39" s="24">
        <v>37</v>
      </c>
      <c r="K39" s="23">
        <f>SUM(E$2:E$1000)/COUNTA(J$3:J$1048576)</f>
        <v>5.5111111111111111</v>
      </c>
      <c r="L39" s="23">
        <f t="shared" si="0"/>
        <v>292.08888888888856</v>
      </c>
      <c r="M39" s="25">
        <v>0</v>
      </c>
      <c r="N39" s="26">
        <f t="shared" si="1"/>
        <v>308</v>
      </c>
    </row>
    <row r="40" spans="1:14" x14ac:dyDescent="0.3">
      <c r="A40" s="34" t="s">
        <v>100</v>
      </c>
      <c r="B40" s="16" t="s">
        <v>112</v>
      </c>
      <c r="C40" s="17" t="s">
        <v>14</v>
      </c>
      <c r="D40" s="17" t="s">
        <v>103</v>
      </c>
      <c r="E40" s="17">
        <v>21</v>
      </c>
      <c r="F40" s="17">
        <v>1</v>
      </c>
      <c r="G40" s="17">
        <v>3</v>
      </c>
      <c r="H40" s="18"/>
      <c r="J40" s="24">
        <v>38</v>
      </c>
      <c r="K40" s="23">
        <f>SUM(E$2:E$1000)/COUNTA(J$3:J$1048576)</f>
        <v>5.5111111111111111</v>
      </c>
      <c r="L40" s="23">
        <f t="shared" si="0"/>
        <v>286.57777777777744</v>
      </c>
      <c r="M40" s="25">
        <v>0</v>
      </c>
      <c r="N40" s="26">
        <f t="shared" si="1"/>
        <v>308</v>
      </c>
    </row>
    <row r="41" spans="1:14" x14ac:dyDescent="0.3">
      <c r="A41" s="34" t="s">
        <v>101</v>
      </c>
      <c r="B41" s="16" t="s">
        <v>106</v>
      </c>
      <c r="C41" s="17" t="s">
        <v>14</v>
      </c>
      <c r="D41" s="17" t="s">
        <v>103</v>
      </c>
      <c r="E41" s="17">
        <v>21</v>
      </c>
      <c r="F41" s="17">
        <v>2</v>
      </c>
      <c r="G41" s="17">
        <v>3</v>
      </c>
      <c r="H41" s="18"/>
      <c r="J41" s="24">
        <v>39</v>
      </c>
      <c r="K41" s="23">
        <f>SUM(E$2:E$1000)/COUNTA(J$3:J$1048576)</f>
        <v>5.5111111111111111</v>
      </c>
      <c r="L41" s="23">
        <f t="shared" si="0"/>
        <v>281.06666666666632</v>
      </c>
      <c r="M41" s="25">
        <v>0</v>
      </c>
      <c r="N41" s="26">
        <f t="shared" si="1"/>
        <v>308</v>
      </c>
    </row>
    <row r="42" spans="1:14" ht="28.8" x14ac:dyDescent="0.3">
      <c r="A42" s="34" t="s">
        <v>102</v>
      </c>
      <c r="B42" s="16" t="s">
        <v>113</v>
      </c>
      <c r="C42" s="17" t="s">
        <v>9</v>
      </c>
      <c r="D42" s="17" t="s">
        <v>103</v>
      </c>
      <c r="E42" s="17">
        <v>21</v>
      </c>
      <c r="F42" s="17">
        <v>3</v>
      </c>
      <c r="G42" s="17">
        <v>3</v>
      </c>
      <c r="H42" s="18"/>
      <c r="J42" s="24">
        <v>40</v>
      </c>
      <c r="K42" s="23">
        <f>SUM(E$2:E$1000)/COUNTA(J$3:J$1048576)</f>
        <v>5.5111111111111111</v>
      </c>
      <c r="L42" s="23">
        <f t="shared" si="0"/>
        <v>275.5555555555552</v>
      </c>
      <c r="M42" s="25">
        <v>2</v>
      </c>
      <c r="N42" s="26">
        <f t="shared" si="1"/>
        <v>306</v>
      </c>
    </row>
    <row r="43" spans="1:14" x14ac:dyDescent="0.3">
      <c r="J43" s="24">
        <v>41</v>
      </c>
      <c r="K43" s="23">
        <f>SUM(E$2:E$1000)/COUNTA(J$3:J$1048576)</f>
        <v>5.5111111111111111</v>
      </c>
      <c r="L43" s="23">
        <f t="shared" si="0"/>
        <v>270.04444444444408</v>
      </c>
      <c r="M43" s="25">
        <v>0</v>
      </c>
      <c r="N43" s="26">
        <f t="shared" si="1"/>
        <v>306</v>
      </c>
    </row>
    <row r="44" spans="1:14" x14ac:dyDescent="0.3">
      <c r="J44" s="24">
        <v>42</v>
      </c>
      <c r="K44" s="23">
        <f>SUM(E$2:E$1000)/COUNTA(J$3:J$1048576)</f>
        <v>5.5111111111111111</v>
      </c>
      <c r="L44" s="23">
        <f t="shared" si="0"/>
        <v>264.53333333333296</v>
      </c>
      <c r="M44" s="25">
        <v>0</v>
      </c>
      <c r="N44" s="26">
        <f t="shared" si="1"/>
        <v>306</v>
      </c>
    </row>
    <row r="45" spans="1:14" x14ac:dyDescent="0.3">
      <c r="J45" s="24">
        <v>43</v>
      </c>
      <c r="K45" s="23">
        <f>SUM(E$2:E$1000)/COUNTA(J$3:J$1048576)</f>
        <v>5.5111111111111111</v>
      </c>
      <c r="L45" s="23">
        <f t="shared" si="0"/>
        <v>259.02222222222184</v>
      </c>
      <c r="M45" s="25">
        <v>0</v>
      </c>
      <c r="N45" s="26">
        <f t="shared" si="1"/>
        <v>306</v>
      </c>
    </row>
    <row r="46" spans="1:14" x14ac:dyDescent="0.3">
      <c r="J46" s="24">
        <v>44</v>
      </c>
      <c r="K46" s="23">
        <f>SUM(E$2:E$1000)/COUNTA(J$3:J$1048576)</f>
        <v>5.5111111111111111</v>
      </c>
      <c r="L46" s="23">
        <f t="shared" si="0"/>
        <v>253.51111111111072</v>
      </c>
      <c r="M46" s="25">
        <v>0</v>
      </c>
      <c r="N46" s="26">
        <f t="shared" si="1"/>
        <v>306</v>
      </c>
    </row>
    <row r="47" spans="1:14" x14ac:dyDescent="0.3">
      <c r="J47" s="24">
        <v>45</v>
      </c>
      <c r="K47" s="23">
        <f>SUM(E$2:E$1000)/COUNTA(J$3:J$1048576)</f>
        <v>5.5111111111111111</v>
      </c>
      <c r="L47" s="23">
        <f t="shared" si="0"/>
        <v>247.9999999999996</v>
      </c>
      <c r="M47" s="25">
        <v>0</v>
      </c>
      <c r="N47" s="26">
        <f t="shared" si="1"/>
        <v>306</v>
      </c>
    </row>
    <row r="48" spans="1:14" x14ac:dyDescent="0.3">
      <c r="J48" s="24">
        <v>46</v>
      </c>
      <c r="K48" s="23">
        <f>SUM(E$2:E$1000)/COUNTA(J$3:J$1048576)</f>
        <v>5.5111111111111111</v>
      </c>
      <c r="L48" s="23">
        <f t="shared" si="0"/>
        <v>242.48888888888848</v>
      </c>
      <c r="M48" s="25">
        <v>0</v>
      </c>
      <c r="N48" s="26">
        <f t="shared" si="1"/>
        <v>306</v>
      </c>
    </row>
    <row r="49" spans="10:14" x14ac:dyDescent="0.3">
      <c r="J49" s="24">
        <v>47</v>
      </c>
      <c r="K49" s="23">
        <f>SUM(E$2:E$1000)/COUNTA(J$3:J$1048576)</f>
        <v>5.5111111111111111</v>
      </c>
      <c r="L49" s="23">
        <f t="shared" si="0"/>
        <v>236.97777777777736</v>
      </c>
      <c r="M49" s="25">
        <v>0</v>
      </c>
      <c r="N49" s="26">
        <f t="shared" si="1"/>
        <v>306</v>
      </c>
    </row>
    <row r="50" spans="10:14" x14ac:dyDescent="0.3">
      <c r="J50" s="24">
        <v>48</v>
      </c>
      <c r="K50" s="23">
        <f>SUM(E$2:E$1000)/COUNTA(J$3:J$1048576)</f>
        <v>5.5111111111111111</v>
      </c>
      <c r="L50" s="23">
        <f t="shared" si="0"/>
        <v>231.46666666666624</v>
      </c>
      <c r="M50" s="25">
        <v>0</v>
      </c>
      <c r="N50" s="26">
        <f t="shared" si="1"/>
        <v>306</v>
      </c>
    </row>
    <row r="51" spans="10:14" x14ac:dyDescent="0.3">
      <c r="J51" s="24">
        <v>49</v>
      </c>
      <c r="K51" s="23">
        <f>SUM(E$2:E$1000)/COUNTA(J$3:J$1048576)</f>
        <v>5.5111111111111111</v>
      </c>
      <c r="L51" s="23">
        <f t="shared" si="0"/>
        <v>225.95555555555512</v>
      </c>
      <c r="M51" s="25">
        <v>0</v>
      </c>
      <c r="N51" s="26">
        <f t="shared" si="1"/>
        <v>306</v>
      </c>
    </row>
    <row r="52" spans="10:14" x14ac:dyDescent="0.3">
      <c r="J52" s="24">
        <v>50</v>
      </c>
      <c r="K52" s="23">
        <f>SUM(E$2:E$1000)/COUNTA(J$3:J$1048576)</f>
        <v>5.5111111111111111</v>
      </c>
      <c r="L52" s="23">
        <f t="shared" si="0"/>
        <v>220.444444444444</v>
      </c>
      <c r="M52" s="25">
        <v>0</v>
      </c>
      <c r="N52" s="26">
        <f t="shared" si="1"/>
        <v>306</v>
      </c>
    </row>
    <row r="53" spans="10:14" x14ac:dyDescent="0.3">
      <c r="J53" s="24">
        <v>51</v>
      </c>
      <c r="K53" s="23">
        <f>SUM(E$2:E$1000)/COUNTA(J$3:J$1048576)</f>
        <v>5.5111111111111111</v>
      </c>
      <c r="L53" s="23">
        <f t="shared" si="0"/>
        <v>214.93333333333288</v>
      </c>
      <c r="M53" s="25">
        <v>0</v>
      </c>
      <c r="N53" s="26">
        <f t="shared" si="1"/>
        <v>306</v>
      </c>
    </row>
    <row r="54" spans="10:14" x14ac:dyDescent="0.3">
      <c r="J54" s="24">
        <v>52</v>
      </c>
      <c r="K54" s="23">
        <f>SUM(E$2:E$1000)/COUNTA(J$3:J$1048576)</f>
        <v>5.5111111111111111</v>
      </c>
      <c r="L54" s="23">
        <f t="shared" si="0"/>
        <v>209.42222222222176</v>
      </c>
      <c r="M54" s="25">
        <v>0</v>
      </c>
      <c r="N54" s="26">
        <f t="shared" si="1"/>
        <v>306</v>
      </c>
    </row>
    <row r="55" spans="10:14" x14ac:dyDescent="0.3">
      <c r="J55" s="24">
        <v>53</v>
      </c>
      <c r="K55" s="23">
        <f>SUM(E$2:E$1000)/COUNTA(J$3:J$1048576)</f>
        <v>5.5111111111111111</v>
      </c>
      <c r="L55" s="23">
        <f t="shared" si="0"/>
        <v>203.91111111111064</v>
      </c>
      <c r="M55" s="25">
        <v>0</v>
      </c>
      <c r="N55" s="26">
        <f t="shared" si="1"/>
        <v>306</v>
      </c>
    </row>
    <row r="56" spans="10:14" x14ac:dyDescent="0.3">
      <c r="J56" s="24">
        <v>54</v>
      </c>
      <c r="K56" s="23">
        <f>SUM(E$2:E$1000)/COUNTA(J$3:J$1048576)</f>
        <v>5.5111111111111111</v>
      </c>
      <c r="L56" s="23">
        <f t="shared" si="0"/>
        <v>198.39999999999952</v>
      </c>
      <c r="M56" s="25">
        <v>0</v>
      </c>
      <c r="N56" s="26">
        <f t="shared" si="1"/>
        <v>306</v>
      </c>
    </row>
    <row r="57" spans="10:14" x14ac:dyDescent="0.3">
      <c r="J57" s="24">
        <v>55</v>
      </c>
      <c r="K57" s="23">
        <f>SUM(E$2:E$1000)/COUNTA(J$3:J$1048576)</f>
        <v>5.5111111111111111</v>
      </c>
      <c r="L57" s="23">
        <f t="shared" si="0"/>
        <v>192.8888888888884</v>
      </c>
      <c r="M57" s="25">
        <v>0</v>
      </c>
      <c r="N57" s="26">
        <f t="shared" si="1"/>
        <v>306</v>
      </c>
    </row>
    <row r="58" spans="10:14" x14ac:dyDescent="0.3">
      <c r="J58" s="24">
        <v>56</v>
      </c>
      <c r="K58" s="23">
        <f>SUM(E$2:E$1000)/COUNTA(J$3:J$1048576)</f>
        <v>5.5111111111111111</v>
      </c>
      <c r="L58" s="23">
        <f t="shared" si="0"/>
        <v>187.37777777777728</v>
      </c>
      <c r="M58" s="25">
        <v>0</v>
      </c>
      <c r="N58" s="26">
        <f t="shared" si="1"/>
        <v>306</v>
      </c>
    </row>
    <row r="59" spans="10:14" x14ac:dyDescent="0.3">
      <c r="J59" s="24">
        <v>57</v>
      </c>
      <c r="K59" s="23">
        <f>SUM(E$2:E$1000)/COUNTA(J$3:J$1048576)</f>
        <v>5.5111111111111111</v>
      </c>
      <c r="L59" s="23">
        <f t="shared" si="0"/>
        <v>181.86666666666616</v>
      </c>
      <c r="M59" s="25">
        <v>0</v>
      </c>
      <c r="N59" s="26">
        <f t="shared" si="1"/>
        <v>306</v>
      </c>
    </row>
    <row r="60" spans="10:14" x14ac:dyDescent="0.3">
      <c r="J60" s="24">
        <v>58</v>
      </c>
      <c r="K60" s="23">
        <f>SUM(E$2:E$1000)/COUNTA(J$3:J$1048576)</f>
        <v>5.5111111111111111</v>
      </c>
      <c r="L60" s="23">
        <f t="shared" si="0"/>
        <v>176.35555555555504</v>
      </c>
      <c r="M60" s="25">
        <v>0</v>
      </c>
      <c r="N60" s="26">
        <f t="shared" si="1"/>
        <v>306</v>
      </c>
    </row>
    <row r="61" spans="10:14" x14ac:dyDescent="0.3">
      <c r="J61" s="24">
        <v>59</v>
      </c>
      <c r="K61" s="23">
        <f>SUM(E$2:E$1000)/COUNTA(J$3:J$1048576)</f>
        <v>5.5111111111111111</v>
      </c>
      <c r="L61" s="23">
        <f t="shared" si="0"/>
        <v>170.84444444444392</v>
      </c>
      <c r="M61" s="25">
        <v>0</v>
      </c>
      <c r="N61" s="26">
        <f t="shared" si="1"/>
        <v>306</v>
      </c>
    </row>
    <row r="62" spans="10:14" x14ac:dyDescent="0.3">
      <c r="J62" s="24">
        <v>60</v>
      </c>
      <c r="K62" s="23">
        <f>SUM(E$2:E$1000)/COUNTA(J$3:J$1048576)</f>
        <v>5.5111111111111111</v>
      </c>
      <c r="L62" s="23">
        <f t="shared" si="0"/>
        <v>165.3333333333328</v>
      </c>
      <c r="M62" s="25">
        <v>0</v>
      </c>
      <c r="N62" s="26">
        <f t="shared" si="1"/>
        <v>306</v>
      </c>
    </row>
    <row r="63" spans="10:14" x14ac:dyDescent="0.3">
      <c r="J63" s="24">
        <v>61</v>
      </c>
      <c r="K63" s="23">
        <f>SUM(E$2:E$1000)/COUNTA(J$3:J$1048576)</f>
        <v>5.5111111111111111</v>
      </c>
      <c r="L63" s="23">
        <f t="shared" si="0"/>
        <v>159.82222222222168</v>
      </c>
      <c r="M63" s="25">
        <v>0</v>
      </c>
      <c r="N63" s="26">
        <f t="shared" si="1"/>
        <v>306</v>
      </c>
    </row>
    <row r="64" spans="10:14" x14ac:dyDescent="0.3">
      <c r="J64" s="24">
        <v>62</v>
      </c>
      <c r="K64" s="23">
        <f>SUM(E$2:E$1000)/COUNTA(J$3:J$1048576)</f>
        <v>5.5111111111111111</v>
      </c>
      <c r="L64" s="23">
        <f t="shared" si="0"/>
        <v>154.31111111111056</v>
      </c>
      <c r="M64" s="25">
        <v>0</v>
      </c>
      <c r="N64" s="26">
        <f t="shared" si="1"/>
        <v>306</v>
      </c>
    </row>
    <row r="65" spans="10:14" x14ac:dyDescent="0.3">
      <c r="J65" s="24">
        <v>63</v>
      </c>
      <c r="K65" s="23">
        <f>SUM(E$2:E$1000)/COUNTA(J$3:J$1048576)</f>
        <v>5.5111111111111111</v>
      </c>
      <c r="L65" s="23">
        <f t="shared" si="0"/>
        <v>148.79999999999944</v>
      </c>
      <c r="M65" s="25">
        <v>0</v>
      </c>
      <c r="N65" s="26">
        <f t="shared" si="1"/>
        <v>306</v>
      </c>
    </row>
    <row r="66" spans="10:14" x14ac:dyDescent="0.3">
      <c r="J66" s="24">
        <v>64</v>
      </c>
      <c r="K66" s="23">
        <f>SUM(E$2:E$1000)/COUNTA(J$3:J$1048576)</f>
        <v>5.5111111111111111</v>
      </c>
      <c r="L66" s="23">
        <f t="shared" si="0"/>
        <v>143.28888888888832</v>
      </c>
      <c r="M66" s="25">
        <v>0</v>
      </c>
      <c r="N66" s="26">
        <f t="shared" si="1"/>
        <v>306</v>
      </c>
    </row>
    <row r="67" spans="10:14" x14ac:dyDescent="0.3">
      <c r="J67" s="24">
        <v>65</v>
      </c>
      <c r="K67" s="23">
        <f>SUM(E$2:E$1000)/COUNTA(J$3:J$1048576)</f>
        <v>5.5111111111111111</v>
      </c>
      <c r="L67" s="23">
        <f t="shared" si="0"/>
        <v>137.7777777777772</v>
      </c>
      <c r="M67" s="25">
        <v>0</v>
      </c>
      <c r="N67" s="26">
        <f t="shared" si="1"/>
        <v>306</v>
      </c>
    </row>
    <row r="68" spans="10:14" x14ac:dyDescent="0.3">
      <c r="J68" s="24">
        <v>66</v>
      </c>
      <c r="K68" s="23">
        <f>SUM(E$2:E$1000)/COUNTA(J$3:J$1048576)</f>
        <v>5.5111111111111111</v>
      </c>
      <c r="L68" s="23">
        <f t="shared" ref="L68:L92" si="2">L67-K68</f>
        <v>132.26666666666608</v>
      </c>
      <c r="M68" s="25">
        <v>0</v>
      </c>
      <c r="N68" s="26">
        <f t="shared" ref="N68:N92" si="3">N67-M68</f>
        <v>306</v>
      </c>
    </row>
    <row r="69" spans="10:14" x14ac:dyDescent="0.3">
      <c r="J69" s="24">
        <v>67</v>
      </c>
      <c r="K69" s="23">
        <f>SUM(E$2:E$1000)/COUNTA(J$3:J$1048576)</f>
        <v>5.5111111111111111</v>
      </c>
      <c r="L69" s="23">
        <f t="shared" si="2"/>
        <v>126.75555555555498</v>
      </c>
      <c r="M69" s="25">
        <v>0</v>
      </c>
      <c r="N69" s="26">
        <f t="shared" si="3"/>
        <v>306</v>
      </c>
    </row>
    <row r="70" spans="10:14" x14ac:dyDescent="0.3">
      <c r="J70" s="24">
        <v>68</v>
      </c>
      <c r="K70" s="23">
        <f>SUM(E$2:E$1000)/COUNTA(J$3:J$1048576)</f>
        <v>5.5111111111111111</v>
      </c>
      <c r="L70" s="23">
        <f t="shared" si="2"/>
        <v>121.24444444444387</v>
      </c>
      <c r="M70" s="25">
        <v>0</v>
      </c>
      <c r="N70" s="26">
        <f t="shared" si="3"/>
        <v>306</v>
      </c>
    </row>
    <row r="71" spans="10:14" x14ac:dyDescent="0.3">
      <c r="J71" s="24">
        <v>69</v>
      </c>
      <c r="K71" s="23">
        <f>SUM(E$2:E$1000)/COUNTA(J$3:J$1048576)</f>
        <v>5.5111111111111111</v>
      </c>
      <c r="L71" s="23">
        <f t="shared" si="2"/>
        <v>115.73333333333277</v>
      </c>
      <c r="M71" s="25">
        <v>0</v>
      </c>
      <c r="N71" s="26">
        <f t="shared" si="3"/>
        <v>306</v>
      </c>
    </row>
    <row r="72" spans="10:14" x14ac:dyDescent="0.3">
      <c r="J72" s="24">
        <v>70</v>
      </c>
      <c r="K72" s="23">
        <f>SUM(E$2:E$1000)/COUNTA(J$3:J$1048576)</f>
        <v>5.5111111111111111</v>
      </c>
      <c r="L72" s="23">
        <f t="shared" si="2"/>
        <v>110.22222222222166</v>
      </c>
      <c r="M72" s="25">
        <v>0</v>
      </c>
      <c r="N72" s="26">
        <f t="shared" si="3"/>
        <v>306</v>
      </c>
    </row>
    <row r="73" spans="10:14" x14ac:dyDescent="0.3">
      <c r="J73" s="24">
        <v>71</v>
      </c>
      <c r="K73" s="23">
        <f>SUM(E$2:E$1000)/COUNTA(J$3:J$1048576)</f>
        <v>5.5111111111111111</v>
      </c>
      <c r="L73" s="23">
        <f t="shared" si="2"/>
        <v>104.71111111111055</v>
      </c>
      <c r="M73" s="25">
        <v>0</v>
      </c>
      <c r="N73" s="26">
        <f t="shared" si="3"/>
        <v>306</v>
      </c>
    </row>
    <row r="74" spans="10:14" x14ac:dyDescent="0.3">
      <c r="J74" s="24">
        <v>72</v>
      </c>
      <c r="K74" s="23">
        <f>SUM(E$2:E$1000)/COUNTA(J$3:J$1048576)</f>
        <v>5.5111111111111111</v>
      </c>
      <c r="L74" s="23">
        <f t="shared" si="2"/>
        <v>99.199999999999449</v>
      </c>
      <c r="M74" s="25">
        <v>0</v>
      </c>
      <c r="N74" s="26">
        <f t="shared" si="3"/>
        <v>306</v>
      </c>
    </row>
    <row r="75" spans="10:14" x14ac:dyDescent="0.3">
      <c r="J75" s="24">
        <v>73</v>
      </c>
      <c r="K75" s="23">
        <f>SUM(E$2:E$1000)/COUNTA(J$3:J$1048576)</f>
        <v>5.5111111111111111</v>
      </c>
      <c r="L75" s="23">
        <f t="shared" si="2"/>
        <v>93.688888888888343</v>
      </c>
      <c r="M75" s="25">
        <v>0</v>
      </c>
      <c r="N75" s="26">
        <f t="shared" si="3"/>
        <v>306</v>
      </c>
    </row>
    <row r="76" spans="10:14" x14ac:dyDescent="0.3">
      <c r="J76" s="24">
        <v>74</v>
      </c>
      <c r="K76" s="23">
        <f>SUM(E$2:E$1000)/COUNTA(J$3:J$1048576)</f>
        <v>5.5111111111111111</v>
      </c>
      <c r="L76" s="23">
        <f t="shared" si="2"/>
        <v>88.177777777777237</v>
      </c>
      <c r="M76" s="25">
        <v>0</v>
      </c>
      <c r="N76" s="26">
        <f t="shared" si="3"/>
        <v>306</v>
      </c>
    </row>
    <row r="77" spans="10:14" x14ac:dyDescent="0.3">
      <c r="J77" s="24">
        <v>75</v>
      </c>
      <c r="K77" s="23">
        <f>SUM(E$2:E$1000)/COUNTA(J$3:J$1048576)</f>
        <v>5.5111111111111111</v>
      </c>
      <c r="L77" s="23">
        <f t="shared" si="2"/>
        <v>82.666666666666131</v>
      </c>
      <c r="M77" s="25">
        <v>0</v>
      </c>
      <c r="N77" s="26">
        <f t="shared" si="3"/>
        <v>306</v>
      </c>
    </row>
    <row r="78" spans="10:14" x14ac:dyDescent="0.3">
      <c r="J78" s="24">
        <v>76</v>
      </c>
      <c r="K78" s="23">
        <f>SUM(E$2:E$1000)/COUNTA(J$3:J$1048576)</f>
        <v>5.5111111111111111</v>
      </c>
      <c r="L78" s="23">
        <f t="shared" si="2"/>
        <v>77.155555555555026</v>
      </c>
      <c r="M78" s="25">
        <v>0</v>
      </c>
      <c r="N78" s="26">
        <f t="shared" si="3"/>
        <v>306</v>
      </c>
    </row>
    <row r="79" spans="10:14" x14ac:dyDescent="0.3">
      <c r="J79" s="24">
        <v>77</v>
      </c>
      <c r="K79" s="23">
        <f>SUM(E$2:E$1000)/COUNTA(J$3:J$1048576)</f>
        <v>5.5111111111111111</v>
      </c>
      <c r="L79" s="23">
        <f t="shared" si="2"/>
        <v>71.64444444444392</v>
      </c>
      <c r="M79" s="25">
        <v>0</v>
      </c>
      <c r="N79" s="26">
        <f t="shared" si="3"/>
        <v>306</v>
      </c>
    </row>
    <row r="80" spans="10:14" x14ac:dyDescent="0.3">
      <c r="J80" s="24">
        <v>78</v>
      </c>
      <c r="K80" s="23">
        <f>SUM(E$2:E$1000)/COUNTA(J$3:J$1048576)</f>
        <v>5.5111111111111111</v>
      </c>
      <c r="L80" s="23">
        <f t="shared" si="2"/>
        <v>66.133333333332814</v>
      </c>
      <c r="M80" s="25">
        <v>0</v>
      </c>
      <c r="N80" s="26">
        <f t="shared" si="3"/>
        <v>306</v>
      </c>
    </row>
    <row r="81" spans="10:14" x14ac:dyDescent="0.3">
      <c r="J81" s="24">
        <v>79</v>
      </c>
      <c r="K81" s="23">
        <f>SUM(E$2:E$1000)/COUNTA(J$3:J$1048576)</f>
        <v>5.5111111111111111</v>
      </c>
      <c r="L81" s="23">
        <f t="shared" si="2"/>
        <v>60.622222222221701</v>
      </c>
      <c r="M81" s="25">
        <v>0</v>
      </c>
      <c r="N81" s="26">
        <f t="shared" si="3"/>
        <v>306</v>
      </c>
    </row>
    <row r="82" spans="10:14" x14ac:dyDescent="0.3">
      <c r="J82" s="24">
        <v>80</v>
      </c>
      <c r="K82" s="23">
        <f>SUM(E$2:E$1000)/COUNTA(J$3:J$1048576)</f>
        <v>5.5111111111111111</v>
      </c>
      <c r="L82" s="23">
        <f t="shared" si="2"/>
        <v>55.111111111110588</v>
      </c>
      <c r="M82" s="25">
        <v>0</v>
      </c>
      <c r="N82" s="26">
        <f t="shared" si="3"/>
        <v>306</v>
      </c>
    </row>
    <row r="83" spans="10:14" x14ac:dyDescent="0.3">
      <c r="J83" s="24">
        <v>81</v>
      </c>
      <c r="K83" s="23">
        <f>SUM(E$2:E$1000)/COUNTA(J$3:J$1048576)</f>
        <v>5.5111111111111111</v>
      </c>
      <c r="L83" s="23">
        <f t="shared" si="2"/>
        <v>49.599999999999476</v>
      </c>
      <c r="M83" s="25">
        <v>0</v>
      </c>
      <c r="N83" s="26">
        <f t="shared" si="3"/>
        <v>306</v>
      </c>
    </row>
    <row r="84" spans="10:14" x14ac:dyDescent="0.3">
      <c r="J84" s="24">
        <v>82</v>
      </c>
      <c r="K84" s="23">
        <f>SUM(E$2:E$1000)/COUNTA(J$3:J$1048576)</f>
        <v>5.5111111111111111</v>
      </c>
      <c r="L84" s="23">
        <f t="shared" si="2"/>
        <v>44.088888888888363</v>
      </c>
      <c r="M84" s="25">
        <v>0</v>
      </c>
      <c r="N84" s="26">
        <f t="shared" si="3"/>
        <v>306</v>
      </c>
    </row>
    <row r="85" spans="10:14" x14ac:dyDescent="0.3">
      <c r="J85" s="24">
        <v>83</v>
      </c>
      <c r="K85" s="23">
        <f>SUM(E$2:E$1000)/COUNTA(J$3:J$1048576)</f>
        <v>5.5111111111111111</v>
      </c>
      <c r="L85" s="23">
        <f t="shared" si="2"/>
        <v>38.57777777777725</v>
      </c>
      <c r="M85" s="25">
        <v>0</v>
      </c>
      <c r="N85" s="26">
        <f t="shared" si="3"/>
        <v>306</v>
      </c>
    </row>
    <row r="86" spans="10:14" x14ac:dyDescent="0.3">
      <c r="J86" s="24">
        <v>84</v>
      </c>
      <c r="K86" s="23">
        <f>SUM(E$2:E$1000)/COUNTA(J$3:J$1048576)</f>
        <v>5.5111111111111111</v>
      </c>
      <c r="L86" s="23">
        <f t="shared" si="2"/>
        <v>33.066666666666137</v>
      </c>
      <c r="M86" s="25">
        <v>0</v>
      </c>
      <c r="N86" s="26">
        <f t="shared" si="3"/>
        <v>306</v>
      </c>
    </row>
    <row r="87" spans="10:14" x14ac:dyDescent="0.3">
      <c r="J87" s="24">
        <v>85</v>
      </c>
      <c r="K87" s="23">
        <f>SUM(E$2:E$1000)/COUNTA(J$3:J$1048576)</f>
        <v>5.5111111111111111</v>
      </c>
      <c r="L87" s="23">
        <f t="shared" si="2"/>
        <v>27.555555555555024</v>
      </c>
      <c r="M87" s="25">
        <v>0</v>
      </c>
      <c r="N87" s="26">
        <f t="shared" si="3"/>
        <v>306</v>
      </c>
    </row>
    <row r="88" spans="10:14" x14ac:dyDescent="0.3">
      <c r="J88" s="24">
        <v>86</v>
      </c>
      <c r="K88" s="23">
        <f>SUM(E$2:E$1000)/COUNTA(J$3:J$1048576)</f>
        <v>5.5111111111111111</v>
      </c>
      <c r="L88" s="23">
        <f t="shared" si="2"/>
        <v>22.044444444443911</v>
      </c>
      <c r="M88" s="25">
        <v>0</v>
      </c>
      <c r="N88" s="26">
        <f t="shared" si="3"/>
        <v>306</v>
      </c>
    </row>
    <row r="89" spans="10:14" x14ac:dyDescent="0.3">
      <c r="J89" s="24">
        <v>87</v>
      </c>
      <c r="K89" s="23">
        <f>SUM(E$2:E$1000)/COUNTA(J$3:J$1048576)</f>
        <v>5.5111111111111111</v>
      </c>
      <c r="L89" s="23">
        <f t="shared" si="2"/>
        <v>16.533333333332799</v>
      </c>
      <c r="M89" s="25">
        <v>0</v>
      </c>
      <c r="N89" s="26">
        <f t="shared" si="3"/>
        <v>306</v>
      </c>
    </row>
    <row r="90" spans="10:14" x14ac:dyDescent="0.3">
      <c r="J90" s="24">
        <v>88</v>
      </c>
      <c r="K90" s="23">
        <f>SUM(E$2:E$1000)/COUNTA(J$3:J$1048576)</f>
        <v>5.5111111111111111</v>
      </c>
      <c r="L90" s="23">
        <f t="shared" si="2"/>
        <v>11.022222222221687</v>
      </c>
      <c r="M90" s="25">
        <v>0</v>
      </c>
      <c r="N90" s="26">
        <f t="shared" si="3"/>
        <v>306</v>
      </c>
    </row>
    <row r="91" spans="10:14" x14ac:dyDescent="0.3">
      <c r="J91" s="24">
        <v>89</v>
      </c>
      <c r="K91" s="23">
        <f>SUM(E$2:E$1000)/COUNTA(J$3:J$1048576)</f>
        <v>5.5111111111111111</v>
      </c>
      <c r="L91" s="23">
        <f t="shared" si="2"/>
        <v>5.5111111111105764</v>
      </c>
      <c r="M91" s="25">
        <v>0</v>
      </c>
      <c r="N91" s="26">
        <f t="shared" si="3"/>
        <v>306</v>
      </c>
    </row>
    <row r="92" spans="10:14" ht="15" thickBot="1" x14ac:dyDescent="0.35">
      <c r="J92" s="27">
        <v>90</v>
      </c>
      <c r="K92" s="28">
        <f>SUM(E$2:E$1000)/COUNTA(J$3:J$1048576)</f>
        <v>5.5111111111111111</v>
      </c>
      <c r="L92" s="28">
        <f t="shared" si="2"/>
        <v>-5.3468340865947539E-13</v>
      </c>
      <c r="M92" s="29">
        <v>146</v>
      </c>
      <c r="N92" s="30">
        <f t="shared" si="3"/>
        <v>160</v>
      </c>
    </row>
  </sheetData>
  <sortState xmlns:xlrd2="http://schemas.microsoft.com/office/spreadsheetml/2017/richdata2" ref="A2:H30">
    <sortCondition ref="G2:G30"/>
  </sortState>
  <pageMargins left="0.7" right="0.7" top="0.75" bottom="0.75" header="0.3" footer="0.3"/>
  <drawing r:id="rId1"/>
  <tableParts count="3"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CELIA FARIA LOURENCO DE ALMEIDA</cp:lastModifiedBy>
  <cp:revision/>
  <dcterms:created xsi:type="dcterms:W3CDTF">2026-03-30T18:10:37Z</dcterms:created>
  <dcterms:modified xsi:type="dcterms:W3CDTF">2026-04-05T22:30:24Z</dcterms:modified>
  <cp:category/>
  <cp:contentStatus/>
</cp:coreProperties>
</file>